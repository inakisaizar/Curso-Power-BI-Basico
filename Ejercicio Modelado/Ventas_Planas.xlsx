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<sst xmlns="http://schemas.openxmlformats.org/spreadsheetml/2006/main" count="6019" uniqueCount="405">
  <si>
    <t xml:space="preserve">FechaVenta</t>
  </si>
  <si>
    <t xml:space="preserve">NumAlbaran</t>
  </si>
  <si>
    <t xml:space="preserve">CodCliente</t>
  </si>
  <si>
    <t xml:space="preserve">NombreCliente</t>
  </si>
  <si>
    <t xml:space="preserve">NIF</t>
  </si>
  <si>
    <t xml:space="preserve">Provincia</t>
  </si>
  <si>
    <t xml:space="preserve">Segmento</t>
  </si>
  <si>
    <t xml:space="preserve">CodProducto</t>
  </si>
  <si>
    <t xml:space="preserve">Descripcion</t>
  </si>
  <si>
    <t xml:space="preserve">Familia</t>
  </si>
  <si>
    <t xml:space="preserve">Marca</t>
  </si>
  <si>
    <t xml:space="preserve">Comercial</t>
  </si>
  <si>
    <t xml:space="preserve">ZonaComercial</t>
  </si>
  <si>
    <t xml:space="preserve">Cantidad</t>
  </si>
  <si>
    <t xml:space="preserve">PrecioUnitario</t>
  </si>
  <si>
    <t xml:space="preserve">Descuento</t>
  </si>
  <si>
    <t xml:space="preserve">Importe</t>
  </si>
  <si>
    <t xml:space="preserve">Coste</t>
  </si>
  <si>
    <t xml:space="preserve">MargenPct</t>
  </si>
  <si>
    <t xml:space="preserve">ALB-100002</t>
  </si>
  <si>
    <t xml:space="preserve">C0009</t>
  </si>
  <si>
    <t xml:space="preserve">Distribuidora Foral</t>
  </si>
  <si>
    <t xml:space="preserve">A01789012</t>
  </si>
  <si>
    <t xml:space="preserve">Araba</t>
  </si>
  <si>
    <t xml:space="preserve">Distribución</t>
  </si>
  <si>
    <t xml:space="preserve">P023</t>
  </si>
  <si>
    <t xml:space="preserve">Paté Ibérico</t>
  </si>
  <si>
    <t xml:space="preserve">Conservas</t>
  </si>
  <si>
    <t xml:space="preserve">Martiko</t>
  </si>
  <si>
    <t xml:space="preserve">Jon Goikoetxea</t>
  </si>
  <si>
    <t xml:space="preserve">P014</t>
  </si>
  <si>
    <t xml:space="preserve">Jamón Ibérico Loncheado</t>
  </si>
  <si>
    <t xml:space="preserve">Embutidos</t>
  </si>
  <si>
    <t xml:space="preserve">Joselito</t>
  </si>
  <si>
    <t xml:space="preserve">ALB-100012</t>
  </si>
  <si>
    <t xml:space="preserve">C0008</t>
  </si>
  <si>
    <t xml:space="preserve">Bar Pintxos Bilbo</t>
  </si>
  <si>
    <t xml:space="preserve">B95678901</t>
  </si>
  <si>
    <t xml:space="preserve">Bizkaia</t>
  </si>
  <si>
    <t xml:space="preserve">Hostelería</t>
  </si>
  <si>
    <t xml:space="preserve">Aitor Etxeberria</t>
  </si>
  <si>
    <t xml:space="preserve">ALB-100138</t>
  </si>
  <si>
    <t xml:space="preserve">C0004</t>
  </si>
  <si>
    <t xml:space="preserve">BM Supermercados</t>
  </si>
  <si>
    <t xml:space="preserve">A20234567</t>
  </si>
  <si>
    <t xml:space="preserve">Gipuzkoa</t>
  </si>
  <si>
    <t xml:space="preserve">P011</t>
  </si>
  <si>
    <t xml:space="preserve">Aceite Oliva Picual 1L</t>
  </si>
  <si>
    <t xml:space="preserve">Aceites</t>
  </si>
  <si>
    <t xml:space="preserve">Castillo de Canena</t>
  </si>
  <si>
    <t xml:space="preserve">Maialen Aranburu</t>
  </si>
  <si>
    <t xml:space="preserve">P027</t>
  </si>
  <si>
    <t xml:space="preserve">Atún Rojo Almadraba</t>
  </si>
  <si>
    <t xml:space="preserve">Petit Bateau</t>
  </si>
  <si>
    <t xml:space="preserve">P020</t>
  </si>
  <si>
    <t xml:space="preserve">Sidra Natural 75cl</t>
  </si>
  <si>
    <t xml:space="preserve">Sidra</t>
  </si>
  <si>
    <t xml:space="preserve">Petritegi</t>
  </si>
  <si>
    <t xml:space="preserve">P013</t>
  </si>
  <si>
    <t xml:space="preserve">Chorizo Pamplona 200g</t>
  </si>
  <si>
    <t xml:space="preserve">Goikoa</t>
  </si>
  <si>
    <t xml:space="preserve">ALB-100193</t>
  </si>
  <si>
    <t xml:space="preserve">C0006</t>
  </si>
  <si>
    <t xml:space="preserve">Asador Etxebarri</t>
  </si>
  <si>
    <t xml:space="preserve">B48456789</t>
  </si>
  <si>
    <t xml:space="preserve">P009</t>
  </si>
  <si>
    <t xml:space="preserve">Vino Rioja Gran Reserva</t>
  </si>
  <si>
    <t xml:space="preserve">Vinos</t>
  </si>
  <si>
    <t xml:space="preserve">CVNE</t>
  </si>
  <si>
    <t xml:space="preserve">ALB-100041</t>
  </si>
  <si>
    <t xml:space="preserve">C0016</t>
  </si>
  <si>
    <t xml:space="preserve">Restaurante Mugaritz</t>
  </si>
  <si>
    <t xml:space="preserve">A20456783</t>
  </si>
  <si>
    <t xml:space="preserve">P010</t>
  </si>
  <si>
    <t xml:space="preserve">Aceite Oliva Virgen Extra 500ml</t>
  </si>
  <si>
    <t xml:space="preserve">La Chinata</t>
  </si>
  <si>
    <t xml:space="preserve">ALB-100105</t>
  </si>
  <si>
    <t xml:space="preserve">C0014</t>
  </si>
  <si>
    <t xml:space="preserve">Pintxos Online</t>
  </si>
  <si>
    <t xml:space="preserve">B20234561</t>
  </si>
  <si>
    <t xml:space="preserve">Online</t>
  </si>
  <si>
    <t xml:space="preserve">P029</t>
  </si>
  <si>
    <t xml:space="preserve">Cecina León IGP</t>
  </si>
  <si>
    <t xml:space="preserve">Astorga</t>
  </si>
  <si>
    <t xml:space="preserve">P021</t>
  </si>
  <si>
    <t xml:space="preserve">Sidra Gaztañaga</t>
  </si>
  <si>
    <t xml:space="preserve">Gaztañaga</t>
  </si>
  <si>
    <t xml:space="preserve">P018</t>
  </si>
  <si>
    <t xml:space="preserve">Queso Manchego Curado</t>
  </si>
  <si>
    <t xml:space="preserve">Quesos</t>
  </si>
  <si>
    <t xml:space="preserve">García Baquero</t>
  </si>
  <si>
    <t xml:space="preserve">ALB-100122</t>
  </si>
  <si>
    <t xml:space="preserve">C0024</t>
  </si>
  <si>
    <t xml:space="preserve">Vinoteca Sukaldari</t>
  </si>
  <si>
    <t xml:space="preserve">B20234562</t>
  </si>
  <si>
    <t xml:space="preserve">Minorista</t>
  </si>
  <si>
    <t xml:space="preserve">P025</t>
  </si>
  <si>
    <t xml:space="preserve">Aceite Oliva Hojiblanca</t>
  </si>
  <si>
    <t xml:space="preserve">P030</t>
  </si>
  <si>
    <t xml:space="preserve">Queso Roncal DOP</t>
  </si>
  <si>
    <t xml:space="preserve">Aranburu</t>
  </si>
  <si>
    <t xml:space="preserve">ALB-100095</t>
  </si>
  <si>
    <t xml:space="preserve">C0018</t>
  </si>
  <si>
    <t xml:space="preserve">Bodegas Logroño</t>
  </si>
  <si>
    <t xml:space="preserve">A26678905</t>
  </si>
  <si>
    <t xml:space="preserve">La Rioja</t>
  </si>
  <si>
    <t xml:space="preserve">Itziar Mendizabal</t>
  </si>
  <si>
    <t xml:space="preserve">Navarra-Rioja</t>
  </si>
  <si>
    <t xml:space="preserve">P012</t>
  </si>
  <si>
    <t xml:space="preserve">Aceite Arbequina 250ml</t>
  </si>
  <si>
    <t xml:space="preserve">Núñez de Prado</t>
  </si>
  <si>
    <t xml:space="preserve">ALB-100133</t>
  </si>
  <si>
    <t xml:space="preserve">P007</t>
  </si>
  <si>
    <t xml:space="preserve">Txakoli Getaria</t>
  </si>
  <si>
    <t xml:space="preserve">Txomin Etxaniz</t>
  </si>
  <si>
    <t xml:space="preserve">ALB-100006</t>
  </si>
  <si>
    <t xml:space="preserve">C0011</t>
  </si>
  <si>
    <t xml:space="preserve">Restaurante Akelarre</t>
  </si>
  <si>
    <t xml:space="preserve">A20901234</t>
  </si>
  <si>
    <t xml:space="preserve">P019</t>
  </si>
  <si>
    <t xml:space="preserve">Queso de Cabra Cremoso</t>
  </si>
  <si>
    <t xml:space="preserve">Quesería Albe</t>
  </si>
  <si>
    <t xml:space="preserve">ALB-100093</t>
  </si>
  <si>
    <t xml:space="preserve">C0001</t>
  </si>
  <si>
    <t xml:space="preserve">Restaurante Aitor</t>
  </si>
  <si>
    <t xml:space="preserve">B12345678</t>
  </si>
  <si>
    <t xml:space="preserve">P008</t>
  </si>
  <si>
    <t xml:space="preserve">Vino Navarra Joven</t>
  </si>
  <si>
    <t xml:space="preserve">Bodegas Ochoa</t>
  </si>
  <si>
    <t xml:space="preserve">P024</t>
  </si>
  <si>
    <t xml:space="preserve">Vino Verdejo Rueda</t>
  </si>
  <si>
    <t xml:space="preserve">José Pariente</t>
  </si>
  <si>
    <t xml:space="preserve">P022</t>
  </si>
  <si>
    <t xml:space="preserve">Foie Mi-Cuit 130g</t>
  </si>
  <si>
    <t xml:space="preserve">ALB-100159</t>
  </si>
  <si>
    <t xml:space="preserve">C0020</t>
  </si>
  <si>
    <t xml:space="preserve">Cafetería Donostia</t>
  </si>
  <si>
    <t xml:space="preserve">B20890127</t>
  </si>
  <si>
    <t xml:space="preserve">P003</t>
  </si>
  <si>
    <t xml:space="preserve">Sardinillas Aceite Oliva</t>
  </si>
  <si>
    <t xml:space="preserve">Olasagasti</t>
  </si>
  <si>
    <t xml:space="preserve">P017</t>
  </si>
  <si>
    <t xml:space="preserve">Queso Idiazabal DOP</t>
  </si>
  <si>
    <t xml:space="preserve">ALB-100141</t>
  </si>
  <si>
    <t xml:space="preserve">ALB-100180</t>
  </si>
  <si>
    <t xml:space="preserve">P015</t>
  </si>
  <si>
    <t xml:space="preserve">Salchichón Ibérico</t>
  </si>
  <si>
    <t xml:space="preserve">P001</t>
  </si>
  <si>
    <t xml:space="preserve">Anchoas Cantábrico 50g</t>
  </si>
  <si>
    <t xml:space="preserve">Ortiz</t>
  </si>
  <si>
    <t xml:space="preserve">ALB-100088</t>
  </si>
  <si>
    <t xml:space="preserve">C0005</t>
  </si>
  <si>
    <t xml:space="preserve">Tienda Goxua</t>
  </si>
  <si>
    <t xml:space="preserve">B95345678</t>
  </si>
  <si>
    <t xml:space="preserve">ALB-100125</t>
  </si>
  <si>
    <t xml:space="preserve">C0015</t>
  </si>
  <si>
    <t xml:space="preserve">Tabernas Reunidas</t>
  </si>
  <si>
    <t xml:space="preserve">B48345672</t>
  </si>
  <si>
    <t xml:space="preserve">P002</t>
  </si>
  <si>
    <t xml:space="preserve">Bonito Norte lata 200g</t>
  </si>
  <si>
    <t xml:space="preserve">ALB-100182</t>
  </si>
  <si>
    <t xml:space="preserve">C0003</t>
  </si>
  <si>
    <t xml:space="preserve">Supermercados Eroski Plaza</t>
  </si>
  <si>
    <t xml:space="preserve">A48123456</t>
  </si>
  <si>
    <t xml:space="preserve">P016</t>
  </si>
  <si>
    <t xml:space="preserve">Lomo Embuchado</t>
  </si>
  <si>
    <t xml:space="preserve">ALB-100153</t>
  </si>
  <si>
    <t xml:space="preserve">C0025</t>
  </si>
  <si>
    <t xml:space="preserve">Gastrobar Iruña</t>
  </si>
  <si>
    <t xml:space="preserve">B31345673</t>
  </si>
  <si>
    <t xml:space="preserve">Navarra</t>
  </si>
  <si>
    <t xml:space="preserve">P004</t>
  </si>
  <si>
    <t xml:space="preserve">Mejillones Escabeche</t>
  </si>
  <si>
    <t xml:space="preserve">P028</t>
  </si>
  <si>
    <t xml:space="preserve">Bacalao Desalado 500g</t>
  </si>
  <si>
    <t xml:space="preserve">Giraldo</t>
  </si>
  <si>
    <t xml:space="preserve">ALB-100177</t>
  </si>
  <si>
    <t xml:space="preserve">C0022</t>
  </si>
  <si>
    <t xml:space="preserve">Distribuciones Cantabria</t>
  </si>
  <si>
    <t xml:space="preserve">A39012349</t>
  </si>
  <si>
    <t xml:space="preserve">Cantabria</t>
  </si>
  <si>
    <t xml:space="preserve">Iker Bilbao</t>
  </si>
  <si>
    <t xml:space="preserve">P005</t>
  </si>
  <si>
    <t xml:space="preserve">Vino Rioja Crianza</t>
  </si>
  <si>
    <t xml:space="preserve">Marqués de Riscal</t>
  </si>
  <si>
    <t xml:space="preserve">ALB-100194</t>
  </si>
  <si>
    <t xml:space="preserve">ALB-100039</t>
  </si>
  <si>
    <t xml:space="preserve">ALB-100079</t>
  </si>
  <si>
    <t xml:space="preserve">ALB-100184</t>
  </si>
  <si>
    <t xml:space="preserve">P026</t>
  </si>
  <si>
    <t xml:space="preserve">Anchoas Premium 100g</t>
  </si>
  <si>
    <t xml:space="preserve">ALB-100051</t>
  </si>
  <si>
    <t xml:space="preserve">ALB-100146</t>
  </si>
  <si>
    <t xml:space="preserve">ALB-100205</t>
  </si>
  <si>
    <t xml:space="preserve">C0017</t>
  </si>
  <si>
    <t xml:space="preserve">Hotel Carlton Bilbao</t>
  </si>
  <si>
    <t xml:space="preserve">A48567894</t>
  </si>
  <si>
    <t xml:space="preserve">ALB-100038</t>
  </si>
  <si>
    <t xml:space="preserve">ALB-100113</t>
  </si>
  <si>
    <t xml:space="preserve">ALB-100201</t>
  </si>
  <si>
    <t xml:space="preserve">ALB-100158</t>
  </si>
  <si>
    <t xml:space="preserve">C0012</t>
  </si>
  <si>
    <t xml:space="preserve">Bodegas Pamplona</t>
  </si>
  <si>
    <t xml:space="preserve">A31012345</t>
  </si>
  <si>
    <t xml:space="preserve">ALB-100129</t>
  </si>
  <si>
    <t xml:space="preserve">ALB-100140</t>
  </si>
  <si>
    <t xml:space="preserve">ALB-100192</t>
  </si>
  <si>
    <t xml:space="preserve">ALB-100011</t>
  </si>
  <si>
    <t xml:space="preserve">ALB-100132</t>
  </si>
  <si>
    <t xml:space="preserve">C0021</t>
  </si>
  <si>
    <t xml:space="preserve">Súper Goxoa</t>
  </si>
  <si>
    <t xml:space="preserve">B01901238</t>
  </si>
  <si>
    <t xml:space="preserve">ALB-100147</t>
  </si>
  <si>
    <t xml:space="preserve">C0023</t>
  </si>
  <si>
    <t xml:space="preserve">Hotel Santander</t>
  </si>
  <si>
    <t xml:space="preserve">A39123450</t>
  </si>
  <si>
    <t xml:space="preserve">ALB-100176</t>
  </si>
  <si>
    <t xml:space="preserve">ALB-100015</t>
  </si>
  <si>
    <t xml:space="preserve">BIZKAIA </t>
  </si>
  <si>
    <t xml:space="preserve">ALB-100139</t>
  </si>
  <si>
    <t xml:space="preserve">ALB-100094</t>
  </si>
  <si>
    <t xml:space="preserve">ALB-100045</t>
  </si>
  <si>
    <t xml:space="preserve">P006</t>
  </si>
  <si>
    <t xml:space="preserve">Vino Rioja Reserva</t>
  </si>
  <si>
    <t xml:space="preserve">ALB-100064</t>
  </si>
  <si>
    <t xml:space="preserve">ALB-100171</t>
  </si>
  <si>
    <t xml:space="preserve">ALB-100173</t>
  </si>
  <si>
    <t xml:space="preserve">ALB-100035</t>
  </si>
  <si>
    <t xml:space="preserve">C0002</t>
  </si>
  <si>
    <t xml:space="preserve">B87654321</t>
  </si>
  <si>
    <t xml:space="preserve">ALB-100062</t>
  </si>
  <si>
    <t xml:space="preserve">ALB-100023</t>
  </si>
  <si>
    <t xml:space="preserve">ALB-100018</t>
  </si>
  <si>
    <t xml:space="preserve">ALB-100010</t>
  </si>
  <si>
    <t xml:space="preserve">C0010</t>
  </si>
  <si>
    <t xml:space="preserve">Vinos Rioja Alavesa</t>
  </si>
  <si>
    <t xml:space="preserve">B01890123</t>
  </si>
  <si>
    <t xml:space="preserve">ALB-100165</t>
  </si>
  <si>
    <t xml:space="preserve">ALB-100174</t>
  </si>
  <si>
    <t xml:space="preserve">ALB-100106</t>
  </si>
  <si>
    <t xml:space="preserve">ALB-100047</t>
  </si>
  <si>
    <t xml:space="preserve">ALB-100195</t>
  </si>
  <si>
    <t xml:space="preserve">ALB-100083</t>
  </si>
  <si>
    <t xml:space="preserve">ALB-100090</t>
  </si>
  <si>
    <t xml:space="preserve">ALB-100027</t>
  </si>
  <si>
    <t xml:space="preserve">ALB-100054</t>
  </si>
  <si>
    <t xml:space="preserve">ALB-100109</t>
  </si>
  <si>
    <t xml:space="preserve">ALB-100068</t>
  </si>
  <si>
    <t xml:space="preserve">ALB-100034</t>
  </si>
  <si>
    <t xml:space="preserve">ALB-100119</t>
  </si>
  <si>
    <t xml:space="preserve">LA RIOJA </t>
  </si>
  <si>
    <t xml:space="preserve">ALB-100055</t>
  </si>
  <si>
    <t xml:space="preserve">ALB-100071</t>
  </si>
  <si>
    <t xml:space="preserve">C0019</t>
  </si>
  <si>
    <t xml:space="preserve">Mercado de la Ribera</t>
  </si>
  <si>
    <t xml:space="preserve">B48789016</t>
  </si>
  <si>
    <t xml:space="preserve">ALB-100117</t>
  </si>
  <si>
    <t xml:space="preserve">ALB-100021</t>
  </si>
  <si>
    <t xml:space="preserve">ALB-100042</t>
  </si>
  <si>
    <t xml:space="preserve">ALB-100072</t>
  </si>
  <si>
    <t xml:space="preserve">ALB-100191</t>
  </si>
  <si>
    <t xml:space="preserve">ALB-100101</t>
  </si>
  <si>
    <t xml:space="preserve">ALB-100099</t>
  </si>
  <si>
    <t xml:space="preserve">ALB-100108</t>
  </si>
  <si>
    <t xml:space="preserve">ALB-100189</t>
  </si>
  <si>
    <t xml:space="preserve">ALB-100127</t>
  </si>
  <si>
    <t xml:space="preserve">ALB-100058</t>
  </si>
  <si>
    <t xml:space="preserve">ALB-100121</t>
  </si>
  <si>
    <t xml:space="preserve">ALB-100186</t>
  </si>
  <si>
    <t xml:space="preserve">ALB-100061</t>
  </si>
  <si>
    <t xml:space="preserve">ALB-100152</t>
  </si>
  <si>
    <t xml:space="preserve">ALB-100033</t>
  </si>
  <si>
    <t xml:space="preserve">ALB-100078</t>
  </si>
  <si>
    <t xml:space="preserve">ALB-100169</t>
  </si>
  <si>
    <t xml:space="preserve">ALB-100148</t>
  </si>
  <si>
    <t xml:space="preserve">ALB-100199</t>
  </si>
  <si>
    <t xml:space="preserve">C0013</t>
  </si>
  <si>
    <t xml:space="preserve">Online Gourmet Shop</t>
  </si>
  <si>
    <t xml:space="preserve">B95123450</t>
  </si>
  <si>
    <t xml:space="preserve">ALB-100007</t>
  </si>
  <si>
    <t xml:space="preserve">ARABA </t>
  </si>
  <si>
    <t xml:space="preserve">ALB-100091</t>
  </si>
  <si>
    <t xml:space="preserve">ALB-100145</t>
  </si>
  <si>
    <t xml:space="preserve">C0007</t>
  </si>
  <si>
    <t xml:space="preserve">Hotel María Cristina</t>
  </si>
  <si>
    <t xml:space="preserve">A20567890</t>
  </si>
  <si>
    <t xml:space="preserve">ALB-100022</t>
  </si>
  <si>
    <t xml:space="preserve">ALB-100008</t>
  </si>
  <si>
    <t xml:space="preserve">ALB-100156</t>
  </si>
  <si>
    <t xml:space="preserve">ALB-100028</t>
  </si>
  <si>
    <t xml:space="preserve">ALB-100086</t>
  </si>
  <si>
    <t xml:space="preserve">ALB-100135</t>
  </si>
  <si>
    <t xml:space="preserve">ALB-100049</t>
  </si>
  <si>
    <t xml:space="preserve">ALB-100118</t>
  </si>
  <si>
    <t xml:space="preserve">ALB-100162</t>
  </si>
  <si>
    <t xml:space="preserve">ALB-100170</t>
  </si>
  <si>
    <t xml:space="preserve">ALB-100168</t>
  </si>
  <si>
    <t xml:space="preserve">ALB-100032</t>
  </si>
  <si>
    <t xml:space="preserve">ALB-100198</t>
  </si>
  <si>
    <t xml:space="preserve">ALB-100120</t>
  </si>
  <si>
    <t xml:space="preserve">ALB-100036</t>
  </si>
  <si>
    <t xml:space="preserve">ALB-100137</t>
  </si>
  <si>
    <t xml:space="preserve">ALB-100013</t>
  </si>
  <si>
    <t xml:space="preserve">ALB-100183</t>
  </si>
  <si>
    <t xml:space="preserve">ALB-100096</t>
  </si>
  <si>
    <t xml:space="preserve">ALB-100104</t>
  </si>
  <si>
    <t xml:space="preserve">ALB-100082</t>
  </si>
  <si>
    <t xml:space="preserve">ALB-100025</t>
  </si>
  <si>
    <t xml:space="preserve">ALB-100188</t>
  </si>
  <si>
    <t xml:space="preserve">ALB-100202</t>
  </si>
  <si>
    <t xml:space="preserve">ALB-100092</t>
  </si>
  <si>
    <t xml:space="preserve">ALB-100172</t>
  </si>
  <si>
    <t xml:space="preserve">ALB-100077</t>
  </si>
  <si>
    <t xml:space="preserve">ALB-100112</t>
  </si>
  <si>
    <t xml:space="preserve">ALB-100043</t>
  </si>
  <si>
    <t xml:space="preserve">ALB-100003</t>
  </si>
  <si>
    <t xml:space="preserve">ALB-100060</t>
  </si>
  <si>
    <t xml:space="preserve">ALB-100063</t>
  </si>
  <si>
    <t xml:space="preserve">ALB-100050</t>
  </si>
  <si>
    <t xml:space="preserve">ALB-100031</t>
  </si>
  <si>
    <t xml:space="preserve">ALB-100136</t>
  </si>
  <si>
    <t xml:space="preserve">GIPUZKOA </t>
  </si>
  <si>
    <t xml:space="preserve">ALB-100030</t>
  </si>
  <si>
    <t xml:space="preserve">ALB-100179</t>
  </si>
  <si>
    <t xml:space="preserve">ALB-100075</t>
  </si>
  <si>
    <t xml:space="preserve">ALB-100098</t>
  </si>
  <si>
    <t xml:space="preserve">ALB-100164</t>
  </si>
  <si>
    <t xml:space="preserve">ALB-100196</t>
  </si>
  <si>
    <t xml:space="preserve">ALB-100181</t>
  </si>
  <si>
    <t xml:space="preserve">ALB-100065</t>
  </si>
  <si>
    <t xml:space="preserve">ALB-100175</t>
  </si>
  <si>
    <t xml:space="preserve">ALB-100017</t>
  </si>
  <si>
    <t xml:space="preserve">ALB-100107</t>
  </si>
  <si>
    <t xml:space="preserve">ALB-100157</t>
  </si>
  <si>
    <t xml:space="preserve">ALB-100076</t>
  </si>
  <si>
    <t xml:space="preserve">ALB-100019</t>
  </si>
  <si>
    <t xml:space="preserve">ALB-100081</t>
  </si>
  <si>
    <t xml:space="preserve">ALB-100005</t>
  </si>
  <si>
    <t xml:space="preserve">ALB-100203</t>
  </si>
  <si>
    <t xml:space="preserve">ALB-100089</t>
  </si>
  <si>
    <t xml:space="preserve">ALB-100014</t>
  </si>
  <si>
    <t xml:space="preserve">ALB-100029</t>
  </si>
  <si>
    <t xml:space="preserve">ALB-100128</t>
  </si>
  <si>
    <t xml:space="preserve">ALB-100204</t>
  </si>
  <si>
    <t xml:space="preserve">ALB-100048</t>
  </si>
  <si>
    <t xml:space="preserve">ALB-100084</t>
  </si>
  <si>
    <t xml:space="preserve">ALB-100124</t>
  </si>
  <si>
    <t xml:space="preserve">ALB-100057</t>
  </si>
  <si>
    <t xml:space="preserve">ALB-100151</t>
  </si>
  <si>
    <t xml:space="preserve">ALB-100131</t>
  </si>
  <si>
    <t xml:space="preserve">ALB-100155</t>
  </si>
  <si>
    <t xml:space="preserve">ALB-100185</t>
  </si>
  <si>
    <t xml:space="preserve">ALB-100004</t>
  </si>
  <si>
    <t xml:space="preserve">ALB-100154</t>
  </si>
  <si>
    <t xml:space="preserve">ALB-100100</t>
  </si>
  <si>
    <t xml:space="preserve">ALB-100150</t>
  </si>
  <si>
    <t xml:space="preserve">ALB-100134</t>
  </si>
  <si>
    <t xml:space="preserve">ALB-100166</t>
  </si>
  <si>
    <t xml:space="preserve">ALB-100102</t>
  </si>
  <si>
    <t xml:space="preserve">ALB-100114</t>
  </si>
  <si>
    <t xml:space="preserve">ALB-100059</t>
  </si>
  <si>
    <t xml:space="preserve">ALB-100111</t>
  </si>
  <si>
    <t xml:space="preserve">ALB-100130</t>
  </si>
  <si>
    <t xml:space="preserve">ALB-100197</t>
  </si>
  <si>
    <t xml:space="preserve">ALB-100143</t>
  </si>
  <si>
    <t xml:space="preserve">ALB-100178</t>
  </si>
  <si>
    <t xml:space="preserve">ALB-100149</t>
  </si>
  <si>
    <t xml:space="preserve">ALB-100001</t>
  </si>
  <si>
    <t xml:space="preserve">ALB-100026</t>
  </si>
  <si>
    <t xml:space="preserve">ALB-100067</t>
  </si>
  <si>
    <t xml:space="preserve">ALB-100074</t>
  </si>
  <si>
    <t xml:space="preserve">ALB-100126</t>
  </si>
  <si>
    <t xml:space="preserve">ALB-100160</t>
  </si>
  <si>
    <t xml:space="preserve">ALB-100020</t>
  </si>
  <si>
    <t xml:space="preserve">ALB-100190</t>
  </si>
  <si>
    <t xml:space="preserve">ALB-100142</t>
  </si>
  <si>
    <t xml:space="preserve">ALB-100073</t>
  </si>
  <si>
    <t xml:space="preserve">ALB-100085</t>
  </si>
  <si>
    <t xml:space="preserve">ALB-100069</t>
  </si>
  <si>
    <t xml:space="preserve">ALB-100161</t>
  </si>
  <si>
    <t xml:space="preserve">ALB-100080</t>
  </si>
  <si>
    <t xml:space="preserve">ALB-100009</t>
  </si>
  <si>
    <t xml:space="preserve">ALB-100037</t>
  </si>
  <si>
    <t xml:space="preserve">ALB-100016</t>
  </si>
  <si>
    <t xml:space="preserve">ALB-100115</t>
  </si>
  <si>
    <t xml:space="preserve">ALB-100116</t>
  </si>
  <si>
    <t xml:space="preserve">ALB-100056</t>
  </si>
  <si>
    <t xml:space="preserve">ALB-100110</t>
  </si>
  <si>
    <t xml:space="preserve">ALB-100087</t>
  </si>
  <si>
    <t xml:space="preserve">ALB-100046</t>
  </si>
  <si>
    <t xml:space="preserve">ALB-100024</t>
  </si>
  <si>
    <t xml:space="preserve">ALB-100187</t>
  </si>
  <si>
    <t xml:space="preserve">ALB-100070</t>
  </si>
  <si>
    <t xml:space="preserve">ALB-100103</t>
  </si>
  <si>
    <t xml:space="preserve">ALB-100144</t>
  </si>
  <si>
    <t xml:space="preserve">ALB-100040</t>
  </si>
  <si>
    <t xml:space="preserve">ALB-100167</t>
  </si>
  <si>
    <t xml:space="preserve">ALB-100163</t>
  </si>
  <si>
    <t xml:space="preserve">ALB-100044</t>
  </si>
  <si>
    <t xml:space="preserve">ALB-100200</t>
  </si>
  <si>
    <t xml:space="preserve">ALB-100053</t>
  </si>
  <si>
    <t xml:space="preserve">ALB-100066</t>
  </si>
  <si>
    <t xml:space="preserve">ALB-100097</t>
  </si>
  <si>
    <t xml:space="preserve">ALB-100123</t>
  </si>
  <si>
    <t xml:space="preserve">ALB-100052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</si>
</sst>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#,##0.00&quot; €&quot;"/>
    <numFmt numFmtId="168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14"/>
    <col collapsed="false" customWidth="true" hidden="false" outlineLevel="0" max="12" min="11" style="0" width="2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45295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23</v>
      </c>
      <c r="N2" s="4" t="n">
        <v>72</v>
      </c>
      <c r="O2" s="5" t="n">
        <v>6.56</v>
      </c>
      <c r="P2" s="6" t="n">
        <v>0</v>
      </c>
      <c r="Q2" s="5" t="n">
        <f aca="false">N2*O2*(1-P2)</f>
        <v>472.32</v>
      </c>
      <c r="R2" s="5" t="n">
        <v>300.6</v>
      </c>
      <c r="S2" s="6" t="n">
        <f aca="false">IFERROR((Q2-R2)/Q2,0)</f>
        <v>0.363567073170732</v>
      </c>
    </row>
    <row r="3" customFormat="false" ht="15" hidden="false" customHeight="false" outlineLevel="0" collapsed="false">
      <c r="A3" s="2" t="n">
        <v>45295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29</v>
      </c>
      <c r="M3" s="3" t="s">
        <v>23</v>
      </c>
      <c r="N3" s="4" t="n">
        <v>12</v>
      </c>
      <c r="O3" s="5" t="n">
        <v>24.03</v>
      </c>
      <c r="P3" s="6" t="n">
        <v>0.05</v>
      </c>
      <c r="Q3" s="5" t="n">
        <f aca="false">N3*O3*(1-P3)</f>
        <v>273.942</v>
      </c>
      <c r="R3" s="5" t="n">
        <v>182.5</v>
      </c>
      <c r="S3" s="6" t="n">
        <f aca="false">IFERROR((Q3-R3)/Q3,0)</f>
        <v>0.333800585525403</v>
      </c>
    </row>
    <row r="4" customFormat="false" ht="15" hidden="false" customHeight="false" outlineLevel="0" collapsed="false">
      <c r="A4" s="2" t="n">
        <v>45295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40</v>
      </c>
      <c r="M4" s="3" t="s">
        <v>38</v>
      </c>
      <c r="N4" s="4" t="n">
        <v>6</v>
      </c>
      <c r="O4" s="5" t="n">
        <v>6.51</v>
      </c>
      <c r="P4" s="6" t="n">
        <v>0</v>
      </c>
      <c r="Q4" s="5" t="n">
        <f aca="false">N4*O4*(1-P4)</f>
        <v>39.06</v>
      </c>
      <c r="R4" s="5" t="n">
        <v>24.95</v>
      </c>
      <c r="S4" s="6" t="n">
        <f aca="false">IFERROR((Q4-R4)/Q4,0)</f>
        <v>0.361239119303636</v>
      </c>
    </row>
    <row r="5" customFormat="false" ht="15" hidden="false" customHeight="false" outlineLevel="0" collapsed="false">
      <c r="A5" s="2" t="n">
        <v>45295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24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45</v>
      </c>
      <c r="N5" s="4" t="n">
        <v>72</v>
      </c>
      <c r="O5" s="5" t="n">
        <v>15.35</v>
      </c>
      <c r="P5" s="6" t="n">
        <v>0.05</v>
      </c>
      <c r="Q5" s="5" t="n">
        <f aca="false">N5*O5*(1-P5)</f>
        <v>1049.94</v>
      </c>
      <c r="R5" s="5" t="n">
        <v>685.34</v>
      </c>
      <c r="S5" s="6" t="n">
        <f aca="false">IFERROR((Q5-R5)/Q5,0)</f>
        <v>0.347257938548869</v>
      </c>
    </row>
    <row r="6" customFormat="false" ht="15" hidden="false" customHeight="false" outlineLevel="0" collapsed="false">
      <c r="A6" s="2" t="n">
        <v>45295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24</v>
      </c>
      <c r="H6" s="3" t="s">
        <v>51</v>
      </c>
      <c r="I6" s="3" t="s">
        <v>52</v>
      </c>
      <c r="J6" s="3" t="s">
        <v>27</v>
      </c>
      <c r="K6" s="3" t="s">
        <v>53</v>
      </c>
      <c r="L6" s="3" t="s">
        <v>50</v>
      </c>
      <c r="M6" s="3" t="s">
        <v>45</v>
      </c>
      <c r="N6" s="4" t="n">
        <v>24</v>
      </c>
      <c r="O6" s="5" t="n">
        <v>21.78</v>
      </c>
      <c r="P6" s="6" t="n">
        <v>0</v>
      </c>
      <c r="Q6" s="5" t="n">
        <f aca="false">N6*O6*(1-P6)</f>
        <v>522.72</v>
      </c>
      <c r="R6" s="5" t="n">
        <v>335.72</v>
      </c>
      <c r="S6" s="6" t="n">
        <f aca="false">IFERROR((Q6-R6)/Q6,0)</f>
        <v>0.357744107744108</v>
      </c>
    </row>
    <row r="7" customFormat="false" ht="15" hidden="false" customHeight="false" outlineLevel="0" collapsed="false">
      <c r="A7" s="2" t="n">
        <v>45295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24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50</v>
      </c>
      <c r="M7" s="3" t="s">
        <v>45</v>
      </c>
      <c r="N7" s="4" t="n">
        <v>96</v>
      </c>
      <c r="O7" s="5" t="n">
        <v>5.16</v>
      </c>
      <c r="P7" s="6" t="n">
        <v>0</v>
      </c>
      <c r="Q7" s="5" t="n">
        <f aca="false">N7*O7*(1-P7)</f>
        <v>495.36</v>
      </c>
      <c r="R7" s="5" t="n">
        <v>281.02</v>
      </c>
      <c r="S7" s="6" t="n">
        <f aca="false">IFERROR((Q7-R7)/Q7,0)</f>
        <v>0.432695413436693</v>
      </c>
    </row>
    <row r="8" customFormat="false" ht="15" hidden="false" customHeight="false" outlineLevel="0" collapsed="false">
      <c r="A8" s="2" t="n">
        <v>45295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24</v>
      </c>
      <c r="H8" s="3" t="s">
        <v>58</v>
      </c>
      <c r="I8" s="3" t="s">
        <v>59</v>
      </c>
      <c r="J8" s="3" t="s">
        <v>32</v>
      </c>
      <c r="K8" s="3" t="s">
        <v>60</v>
      </c>
      <c r="L8" s="3" t="s">
        <v>50</v>
      </c>
      <c r="M8" s="3" t="s">
        <v>45</v>
      </c>
      <c r="N8" s="4" t="n">
        <v>48</v>
      </c>
      <c r="O8" s="5" t="n">
        <v>5.64</v>
      </c>
      <c r="P8" s="6" t="n">
        <v>0</v>
      </c>
      <c r="Q8" s="5" t="n">
        <f aca="false">N8*O8*(1-P8)</f>
        <v>270.72</v>
      </c>
      <c r="R8" s="5" t="n">
        <v>165.27</v>
      </c>
      <c r="S8" s="6" t="n">
        <f aca="false">IFERROR((Q8-R8)/Q8,0)</f>
        <v>0.389516843971631</v>
      </c>
    </row>
    <row r="9" customFormat="false" ht="15" hidden="false" customHeight="false" outlineLevel="0" collapsed="false">
      <c r="A9" s="2" t="n">
        <v>45296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38</v>
      </c>
      <c r="G9" s="3" t="s">
        <v>39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40</v>
      </c>
      <c r="M9" s="3" t="s">
        <v>38</v>
      </c>
      <c r="N9" s="4" t="n">
        <v>60</v>
      </c>
      <c r="O9" s="5" t="n">
        <v>29.47</v>
      </c>
      <c r="P9" s="6" t="n">
        <v>0</v>
      </c>
      <c r="Q9" s="5" t="n">
        <f aca="false">N9*O9*(1-P9)</f>
        <v>1768.2</v>
      </c>
      <c r="R9" s="5" t="n">
        <v>1028.85</v>
      </c>
      <c r="S9" s="6" t="n">
        <f aca="false">IFERROR((Q9-R9)/Q9,0)</f>
        <v>0.418137088564642</v>
      </c>
    </row>
    <row r="10" customFormat="false" ht="15" hidden="false" customHeight="false" outlineLevel="0" collapsed="false">
      <c r="A10" s="2" t="n">
        <v>45296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38</v>
      </c>
      <c r="G10" s="3" t="s">
        <v>39</v>
      </c>
      <c r="H10" s="3" t="s">
        <v>54</v>
      </c>
      <c r="I10" s="3" t="s">
        <v>55</v>
      </c>
      <c r="J10" s="3" t="s">
        <v>56</v>
      </c>
      <c r="K10" s="3" t="s">
        <v>57</v>
      </c>
      <c r="L10" s="3" t="s">
        <v>40</v>
      </c>
      <c r="M10" s="3" t="s">
        <v>38</v>
      </c>
      <c r="N10" s="4" t="n">
        <v>72</v>
      </c>
      <c r="O10" s="5" t="n">
        <v>4.77</v>
      </c>
      <c r="P10" s="6" t="n">
        <v>0</v>
      </c>
      <c r="Q10" s="5" t="n">
        <f aca="false">N10*O10*(1-P10)</f>
        <v>343.44</v>
      </c>
      <c r="R10" s="5" t="n">
        <v>208.52</v>
      </c>
      <c r="S10" s="6" t="n">
        <f aca="false">IFERROR((Q10-R10)/Q10,0)</f>
        <v>0.392848823666434</v>
      </c>
    </row>
    <row r="11" customFormat="false" ht="15" hidden="false" customHeight="false" outlineLevel="0" collapsed="false">
      <c r="A11" s="2" t="n">
        <v>45300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45</v>
      </c>
      <c r="G11" s="3" t="s">
        <v>39</v>
      </c>
      <c r="H11" s="3" t="s">
        <v>73</v>
      </c>
      <c r="I11" s="3" t="s">
        <v>74</v>
      </c>
      <c r="J11" s="3" t="s">
        <v>48</v>
      </c>
      <c r="K11" s="3" t="s">
        <v>75</v>
      </c>
      <c r="L11" s="3" t="s">
        <v>50</v>
      </c>
      <c r="M11" s="3" t="s">
        <v>45</v>
      </c>
      <c r="N11" s="4" t="n">
        <v>48</v>
      </c>
      <c r="O11" s="5" t="n">
        <v>8.76</v>
      </c>
      <c r="P11" s="6" t="n">
        <v>0</v>
      </c>
      <c r="Q11" s="5" t="n">
        <f aca="false">N11*O11*(1-P11)</f>
        <v>420.48</v>
      </c>
      <c r="R11" s="5" t="n">
        <v>257.19</v>
      </c>
      <c r="S11" s="6" t="n">
        <f aca="false">IFERROR((Q11-R11)/Q11,0)</f>
        <v>0.388341894977169</v>
      </c>
    </row>
    <row r="12" customFormat="false" ht="15" hidden="false" customHeight="false" outlineLevel="0" collapsed="false">
      <c r="A12" s="2" t="n">
        <v>45307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45</v>
      </c>
      <c r="G12" s="3" t="s">
        <v>80</v>
      </c>
      <c r="H12" s="3" t="s">
        <v>81</v>
      </c>
      <c r="I12" s="3" t="s">
        <v>82</v>
      </c>
      <c r="J12" s="3" t="s">
        <v>32</v>
      </c>
      <c r="K12" s="3" t="s">
        <v>83</v>
      </c>
      <c r="L12" s="3" t="s">
        <v>50</v>
      </c>
      <c r="M12" s="3" t="s">
        <v>45</v>
      </c>
      <c r="N12" s="4" t="n">
        <v>60</v>
      </c>
      <c r="O12" s="5" t="n">
        <v>21.44</v>
      </c>
      <c r="P12" s="6" t="n">
        <v>0.05</v>
      </c>
      <c r="Q12" s="5" t="n">
        <f aca="false">N12*O12*(1-P12)</f>
        <v>1222.08</v>
      </c>
      <c r="R12" s="5" t="n">
        <v>785.58</v>
      </c>
      <c r="S12" s="6" t="n">
        <f aca="false">IFERROR((Q12-R12)/Q12,0)</f>
        <v>0.35717792615868</v>
      </c>
    </row>
    <row r="13" customFormat="false" ht="15" hidden="false" customHeight="false" outlineLevel="0" collapsed="false">
      <c r="A13" s="2" t="n">
        <v>45307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45</v>
      </c>
      <c r="G13" s="3" t="s">
        <v>80</v>
      </c>
      <c r="H13" s="3" t="s">
        <v>84</v>
      </c>
      <c r="I13" s="3" t="s">
        <v>85</v>
      </c>
      <c r="J13" s="3" t="s">
        <v>56</v>
      </c>
      <c r="K13" s="3" t="s">
        <v>86</v>
      </c>
      <c r="L13" s="3" t="s">
        <v>50</v>
      </c>
      <c r="M13" s="3" t="s">
        <v>45</v>
      </c>
      <c r="N13" s="4" t="n">
        <v>6</v>
      </c>
      <c r="O13" s="5" t="n">
        <v>4.92</v>
      </c>
      <c r="P13" s="6" t="n">
        <v>0.05</v>
      </c>
      <c r="Q13" s="5" t="n">
        <f aca="false">N13*O13*(1-P13)</f>
        <v>28.044</v>
      </c>
      <c r="R13" s="5" t="n">
        <v>18.59</v>
      </c>
      <c r="S13" s="6" t="n">
        <f aca="false">IFERROR((Q13-R13)/Q13,0)</f>
        <v>0.337113107973185</v>
      </c>
    </row>
    <row r="14" customFormat="false" ht="15" hidden="false" customHeight="false" outlineLevel="0" collapsed="false">
      <c r="A14" s="2" t="n">
        <v>45307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45</v>
      </c>
      <c r="G14" s="3" t="s">
        <v>80</v>
      </c>
      <c r="H14" s="3" t="s">
        <v>87</v>
      </c>
      <c r="I14" s="3" t="s">
        <v>88</v>
      </c>
      <c r="J14" s="3" t="s">
        <v>89</v>
      </c>
      <c r="K14" s="3" t="s">
        <v>90</v>
      </c>
      <c r="L14" s="3" t="s">
        <v>50</v>
      </c>
      <c r="M14" s="3" t="s">
        <v>45</v>
      </c>
      <c r="N14" s="4" t="n">
        <v>24</v>
      </c>
      <c r="O14" s="5" t="n">
        <v>16.01</v>
      </c>
      <c r="P14" s="6" t="n">
        <v>0.05</v>
      </c>
      <c r="Q14" s="5" t="n">
        <f aca="false">N14*O14*(1-P14)</f>
        <v>365.028</v>
      </c>
      <c r="R14" s="5" t="n">
        <v>244.67</v>
      </c>
      <c r="S14" s="6" t="n">
        <f aca="false">IFERROR((Q14-R14)/Q14,0)</f>
        <v>0.329722651413042</v>
      </c>
    </row>
    <row r="15" customFormat="false" ht="15" hidden="false" customHeight="false" outlineLevel="0" collapsed="false">
      <c r="A15" s="2" t="n">
        <v>45307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45</v>
      </c>
      <c r="G15" s="3" t="s">
        <v>80</v>
      </c>
      <c r="H15" s="3" t="s">
        <v>73</v>
      </c>
      <c r="I15" s="3" t="s">
        <v>74</v>
      </c>
      <c r="J15" s="3" t="s">
        <v>48</v>
      </c>
      <c r="K15" s="3" t="s">
        <v>75</v>
      </c>
      <c r="L15" s="3" t="s">
        <v>50</v>
      </c>
      <c r="M15" s="3" t="s">
        <v>45</v>
      </c>
      <c r="N15" s="4" t="n">
        <v>96</v>
      </c>
      <c r="O15" s="5" t="n">
        <v>8.37</v>
      </c>
      <c r="P15" s="6" t="n">
        <v>0.05</v>
      </c>
      <c r="Q15" s="5" t="n">
        <f aca="false">N15*O15*(1-P15)</f>
        <v>763.344</v>
      </c>
      <c r="R15" s="5" t="n">
        <v>518.71</v>
      </c>
      <c r="S15" s="6" t="n">
        <f aca="false">IFERROR((Q15-R15)/Q15,0)</f>
        <v>0.320476744429772</v>
      </c>
    </row>
    <row r="16" customFormat="false" ht="15" hidden="false" customHeight="false" outlineLevel="0" collapsed="false">
      <c r="A16" s="2" t="n">
        <v>45308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45</v>
      </c>
      <c r="G16" s="3" t="s">
        <v>95</v>
      </c>
      <c r="H16" s="3" t="s">
        <v>54</v>
      </c>
      <c r="I16" s="3" t="s">
        <v>55</v>
      </c>
      <c r="J16" s="3" t="s">
        <v>56</v>
      </c>
      <c r="K16" s="3" t="s">
        <v>57</v>
      </c>
      <c r="L16" s="3" t="s">
        <v>50</v>
      </c>
      <c r="M16" s="3" t="s">
        <v>45</v>
      </c>
      <c r="N16" s="4" t="n">
        <v>6</v>
      </c>
      <c r="O16" s="5" t="n">
        <v>4.6</v>
      </c>
      <c r="P16" s="6" t="n">
        <v>0</v>
      </c>
      <c r="Q16" s="5" t="n">
        <f aca="false">N16*O16*(1-P16)</f>
        <v>27.6</v>
      </c>
      <c r="R16" s="5" t="n">
        <v>17.12</v>
      </c>
      <c r="S16" s="6" t="n">
        <f aca="false">IFERROR((Q16-R16)/Q16,0)</f>
        <v>0.379710144927536</v>
      </c>
    </row>
    <row r="17" customFormat="false" ht="15" hidden="false" customHeight="false" outlineLevel="0" collapsed="false">
      <c r="A17" s="2" t="n">
        <v>45308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45</v>
      </c>
      <c r="G17" s="3" t="s">
        <v>95</v>
      </c>
      <c r="H17" s="3" t="s">
        <v>96</v>
      </c>
      <c r="I17" s="3" t="s">
        <v>97</v>
      </c>
      <c r="J17" s="3" t="s">
        <v>48</v>
      </c>
      <c r="K17" s="3" t="s">
        <v>75</v>
      </c>
      <c r="L17" s="3" t="s">
        <v>50</v>
      </c>
      <c r="M17" s="3" t="s">
        <v>45</v>
      </c>
      <c r="N17" s="4" t="n">
        <v>6</v>
      </c>
      <c r="O17" s="5" t="n">
        <v>7.87</v>
      </c>
      <c r="P17" s="6" t="n">
        <v>0</v>
      </c>
      <c r="Q17" s="5" t="n">
        <f aca="false">N17*O17*(1-P17)</f>
        <v>47.22</v>
      </c>
      <c r="R17" s="5" t="n">
        <v>29.29</v>
      </c>
      <c r="S17" s="6" t="n">
        <f aca="false">IFERROR((Q17-R17)/Q17,0)</f>
        <v>0.379711986446421</v>
      </c>
    </row>
    <row r="18" customFormat="false" ht="15" hidden="false" customHeight="false" outlineLevel="0" collapsed="false">
      <c r="A18" s="2" t="n">
        <v>45308</v>
      </c>
      <c r="B18" s="3" t="s">
        <v>91</v>
      </c>
      <c r="C18" s="3" t="s">
        <v>92</v>
      </c>
      <c r="D18" s="3" t="s">
        <v>93</v>
      </c>
      <c r="E18" s="3" t="s">
        <v>94</v>
      </c>
      <c r="F18" s="3" t="s">
        <v>45</v>
      </c>
      <c r="G18" s="3" t="s">
        <v>95</v>
      </c>
      <c r="H18" s="3" t="s">
        <v>98</v>
      </c>
      <c r="I18" s="3" t="s">
        <v>99</v>
      </c>
      <c r="J18" s="3" t="s">
        <v>89</v>
      </c>
      <c r="K18" s="3" t="s">
        <v>100</v>
      </c>
      <c r="L18" s="3" t="s">
        <v>50</v>
      </c>
      <c r="M18" s="3" t="s">
        <v>45</v>
      </c>
      <c r="N18" s="4" t="n">
        <v>48</v>
      </c>
      <c r="O18" s="5" t="n">
        <v>23.73</v>
      </c>
      <c r="P18" s="6" t="n">
        <v>0</v>
      </c>
      <c r="Q18" s="5" t="n">
        <f aca="false">N18*O18*(1-P18)</f>
        <v>1139.04</v>
      </c>
      <c r="R18" s="5" t="n">
        <v>662.33</v>
      </c>
      <c r="S18" s="6" t="n">
        <f aca="false">IFERROR((Q18-R18)/Q18,0)</f>
        <v>0.418519103806714</v>
      </c>
    </row>
    <row r="19" customFormat="false" ht="15" hidden="false" customHeight="false" outlineLevel="0" collapsed="false">
      <c r="A19" s="2" t="n">
        <v>45308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45</v>
      </c>
      <c r="G19" s="3" t="s">
        <v>95</v>
      </c>
      <c r="H19" s="3" t="s">
        <v>81</v>
      </c>
      <c r="I19" s="3" t="s">
        <v>82</v>
      </c>
      <c r="J19" s="3" t="s">
        <v>32</v>
      </c>
      <c r="K19" s="3" t="s">
        <v>83</v>
      </c>
      <c r="L19" s="3" t="s">
        <v>50</v>
      </c>
      <c r="M19" s="3" t="s">
        <v>45</v>
      </c>
      <c r="N19" s="4" t="n">
        <v>48</v>
      </c>
      <c r="O19" s="5" t="n">
        <v>22.59</v>
      </c>
      <c r="P19" s="6" t="n">
        <v>0.05</v>
      </c>
      <c r="Q19" s="5" t="n">
        <f aca="false">N19*O19*(1-P19)</f>
        <v>1030.104</v>
      </c>
      <c r="R19" s="5" t="n">
        <v>635.56</v>
      </c>
      <c r="S19" s="6" t="n">
        <f aca="false">IFERROR((Q19-R19)/Q19,0)</f>
        <v>0.383013753951057</v>
      </c>
    </row>
    <row r="20" customFormat="false" ht="15" hidden="false" customHeight="false" outlineLevel="0" collapsed="false">
      <c r="A20" s="2" t="n">
        <v>45310</v>
      </c>
      <c r="B20" s="3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24</v>
      </c>
      <c r="H20" s="3" t="s">
        <v>73</v>
      </c>
      <c r="I20" s="3" t="s">
        <v>74</v>
      </c>
      <c r="J20" s="3" t="s">
        <v>48</v>
      </c>
      <c r="K20" s="3" t="s">
        <v>75</v>
      </c>
      <c r="L20" s="3" t="s">
        <v>106</v>
      </c>
      <c r="M20" s="3" t="s">
        <v>107</v>
      </c>
      <c r="N20" s="4" t="n">
        <v>6</v>
      </c>
      <c r="O20" s="5" t="n">
        <v>9.42</v>
      </c>
      <c r="P20" s="6" t="n">
        <v>0.05</v>
      </c>
      <c r="Q20" s="5" t="n">
        <f aca="false">N20*O20*(1-P20)</f>
        <v>53.694</v>
      </c>
      <c r="R20" s="5" t="n">
        <v>32.11</v>
      </c>
      <c r="S20" s="6" t="n">
        <f aca="false">IFERROR((Q20-R20)/Q20,0)</f>
        <v>0.401981599433829</v>
      </c>
    </row>
    <row r="21" customFormat="false" ht="15" hidden="false" customHeight="false" outlineLevel="0" collapsed="false">
      <c r="A21" s="2" t="n">
        <v>45310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24</v>
      </c>
      <c r="H21" s="3" t="s">
        <v>108</v>
      </c>
      <c r="I21" s="3" t="s">
        <v>109</v>
      </c>
      <c r="J21" s="3" t="s">
        <v>48</v>
      </c>
      <c r="K21" s="3" t="s">
        <v>110</v>
      </c>
      <c r="L21" s="3" t="s">
        <v>106</v>
      </c>
      <c r="M21" s="3" t="s">
        <v>107</v>
      </c>
      <c r="N21" s="4" t="n">
        <v>96</v>
      </c>
      <c r="O21" s="5" t="n">
        <v>7.65</v>
      </c>
      <c r="P21" s="6" t="n">
        <v>0.1</v>
      </c>
      <c r="Q21" s="5" t="n">
        <f aca="false">N21*O21*(1-P21)</f>
        <v>660.96</v>
      </c>
      <c r="R21" s="5" t="n">
        <v>419.32</v>
      </c>
      <c r="S21" s="6" t="n">
        <f aca="false">IFERROR((Q21-R21)/Q21,0)</f>
        <v>0.365589445654805</v>
      </c>
    </row>
    <row r="22" customFormat="false" ht="15" hidden="false" customHeight="false" outlineLevel="0" collapsed="false">
      <c r="A22" s="2" t="n">
        <v>45313</v>
      </c>
      <c r="B22" s="3" t="s">
        <v>111</v>
      </c>
      <c r="C22" s="3" t="s">
        <v>42</v>
      </c>
      <c r="D22" s="3" t="s">
        <v>43</v>
      </c>
      <c r="E22" s="3" t="s">
        <v>44</v>
      </c>
      <c r="F22" s="3" t="s">
        <v>45</v>
      </c>
      <c r="G22" s="3" t="s">
        <v>24</v>
      </c>
      <c r="H22" s="3" t="s">
        <v>112</v>
      </c>
      <c r="I22" s="3" t="s">
        <v>113</v>
      </c>
      <c r="J22" s="3" t="s">
        <v>67</v>
      </c>
      <c r="K22" s="3" t="s">
        <v>114</v>
      </c>
      <c r="L22" s="3" t="s">
        <v>50</v>
      </c>
      <c r="M22" s="3" t="s">
        <v>45</v>
      </c>
      <c r="N22" s="4" t="n">
        <v>120</v>
      </c>
      <c r="O22" s="5" t="n">
        <v>9.44</v>
      </c>
      <c r="P22" s="6" t="n">
        <v>0</v>
      </c>
      <c r="Q22" s="5" t="n">
        <f aca="false">N22*O22*(1-P22)</f>
        <v>1132.8</v>
      </c>
      <c r="R22" s="5" t="n">
        <v>713.22</v>
      </c>
      <c r="S22" s="6" t="n">
        <f aca="false">IFERROR((Q22-R22)/Q22,0)</f>
        <v>0.370391949152542</v>
      </c>
    </row>
    <row r="23" customFormat="false" ht="15" hidden="false" customHeight="false" outlineLevel="0" collapsed="false">
      <c r="A23" s="2" t="n">
        <v>45313</v>
      </c>
      <c r="B23" s="3" t="s">
        <v>111</v>
      </c>
      <c r="C23" s="3" t="s">
        <v>42</v>
      </c>
      <c r="D23" s="3" t="s">
        <v>43</v>
      </c>
      <c r="E23" s="3" t="s">
        <v>44</v>
      </c>
      <c r="F23" s="3" t="s">
        <v>45</v>
      </c>
      <c r="G23" s="3" t="s">
        <v>24</v>
      </c>
      <c r="H23" s="3" t="s">
        <v>81</v>
      </c>
      <c r="I23" s="3" t="s">
        <v>82</v>
      </c>
      <c r="J23" s="3" t="s">
        <v>32</v>
      </c>
      <c r="K23" s="3" t="s">
        <v>83</v>
      </c>
      <c r="L23" s="3" t="s">
        <v>50</v>
      </c>
      <c r="M23" s="3" t="s">
        <v>45</v>
      </c>
      <c r="N23" s="4" t="n">
        <v>6</v>
      </c>
      <c r="O23" s="5" t="n">
        <v>20.4</v>
      </c>
      <c r="P23" s="6" t="n">
        <v>0.05</v>
      </c>
      <c r="Q23" s="5" t="n">
        <f aca="false">N23*O23*(1-P23)</f>
        <v>116.28</v>
      </c>
      <c r="R23" s="5" t="n">
        <v>77.67</v>
      </c>
      <c r="S23" s="6" t="n">
        <f aca="false">IFERROR((Q23-R23)/Q23,0)</f>
        <v>0.332043343653251</v>
      </c>
    </row>
    <row r="24" customFormat="false" ht="15" hidden="false" customHeight="false" outlineLevel="0" collapsed="false">
      <c r="A24" s="2" t="n">
        <v>45325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45</v>
      </c>
      <c r="G24" s="3" t="s">
        <v>39</v>
      </c>
      <c r="H24" s="3" t="s">
        <v>98</v>
      </c>
      <c r="I24" s="3" t="s">
        <v>99</v>
      </c>
      <c r="J24" s="3" t="s">
        <v>89</v>
      </c>
      <c r="K24" s="3" t="s">
        <v>100</v>
      </c>
      <c r="L24" s="3" t="s">
        <v>50</v>
      </c>
      <c r="M24" s="3" t="s">
        <v>45</v>
      </c>
      <c r="N24" s="4" t="n">
        <v>72</v>
      </c>
      <c r="O24" s="5" t="n">
        <v>21.75</v>
      </c>
      <c r="P24" s="6" t="n">
        <v>0.1</v>
      </c>
      <c r="Q24" s="5" t="n">
        <f aca="false">N24*O24*(1-P24)</f>
        <v>1409.4</v>
      </c>
      <c r="R24" s="5" t="n">
        <v>1003.79</v>
      </c>
      <c r="S24" s="6" t="n">
        <f aca="false">IFERROR((Q24-R24)/Q24,0)</f>
        <v>0.287789130126295</v>
      </c>
    </row>
    <row r="25" customFormat="false" ht="15" hidden="false" customHeight="false" outlineLevel="0" collapsed="false">
      <c r="A25" s="2" t="n">
        <v>45325</v>
      </c>
      <c r="B25" s="3" t="s">
        <v>115</v>
      </c>
      <c r="C25" s="3" t="s">
        <v>116</v>
      </c>
      <c r="D25" s="3" t="s">
        <v>117</v>
      </c>
      <c r="E25" s="3" t="s">
        <v>118</v>
      </c>
      <c r="F25" s="3" t="s">
        <v>45</v>
      </c>
      <c r="G25" s="3" t="s">
        <v>39</v>
      </c>
      <c r="H25" s="3" t="s">
        <v>119</v>
      </c>
      <c r="I25" s="3" t="s">
        <v>120</v>
      </c>
      <c r="J25" s="3" t="s">
        <v>89</v>
      </c>
      <c r="K25" s="3" t="s">
        <v>121</v>
      </c>
      <c r="L25" s="3" t="s">
        <v>50</v>
      </c>
      <c r="M25" s="3" t="s">
        <v>45</v>
      </c>
      <c r="N25" s="4" t="n">
        <v>120</v>
      </c>
      <c r="O25" s="5" t="n">
        <v>10.56</v>
      </c>
      <c r="P25" s="6" t="n">
        <v>0</v>
      </c>
      <c r="Q25" s="5" t="n">
        <f aca="false">N25*O25*(1-P25)</f>
        <v>1267.2</v>
      </c>
      <c r="R25" s="5" t="n">
        <v>807.73</v>
      </c>
      <c r="S25" s="6" t="n">
        <f aca="false">IFERROR((Q25-R25)/Q25,0)</f>
        <v>0.362586805555556</v>
      </c>
    </row>
    <row r="26" customFormat="false" ht="15" hidden="false" customHeight="false" outlineLevel="0" collapsed="false">
      <c r="A26" s="2" t="n">
        <v>45326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38</v>
      </c>
      <c r="G26" s="3" t="s">
        <v>39</v>
      </c>
      <c r="H26" s="3" t="s">
        <v>126</v>
      </c>
      <c r="I26" s="3" t="s">
        <v>127</v>
      </c>
      <c r="J26" s="3" t="s">
        <v>67</v>
      </c>
      <c r="K26" s="3" t="s">
        <v>128</v>
      </c>
      <c r="L26" s="3" t="s">
        <v>40</v>
      </c>
      <c r="M26" s="3" t="s">
        <v>38</v>
      </c>
      <c r="N26" s="4" t="n">
        <v>12</v>
      </c>
      <c r="O26" s="5" t="n">
        <v>6.78</v>
      </c>
      <c r="P26" s="6" t="n">
        <v>0.05</v>
      </c>
      <c r="Q26" s="5" t="n">
        <f aca="false">N26*O26*(1-P26)</f>
        <v>77.292</v>
      </c>
      <c r="R26" s="5" t="n">
        <v>44.93</v>
      </c>
      <c r="S26" s="6" t="n">
        <f aca="false">IFERROR((Q26-R26)/Q26,0)</f>
        <v>0.418697924752885</v>
      </c>
    </row>
    <row r="27" customFormat="false" ht="15" hidden="false" customHeight="false" outlineLevel="0" collapsed="false">
      <c r="A27" s="2" t="n">
        <v>45326</v>
      </c>
      <c r="B27" s="3" t="s">
        <v>122</v>
      </c>
      <c r="C27" s="3" t="s">
        <v>123</v>
      </c>
      <c r="D27" s="3" t="s">
        <v>124</v>
      </c>
      <c r="E27" s="3" t="s">
        <v>125</v>
      </c>
      <c r="F27" s="3" t="s">
        <v>38</v>
      </c>
      <c r="G27" s="3" t="s">
        <v>39</v>
      </c>
      <c r="H27" s="3" t="s">
        <v>129</v>
      </c>
      <c r="I27" s="3" t="s">
        <v>130</v>
      </c>
      <c r="J27" s="3" t="s">
        <v>67</v>
      </c>
      <c r="K27" s="3" t="s">
        <v>131</v>
      </c>
      <c r="L27" s="3" t="s">
        <v>40</v>
      </c>
      <c r="M27" s="3" t="s">
        <v>38</v>
      </c>
      <c r="N27" s="4" t="n">
        <v>72</v>
      </c>
      <c r="O27" s="5" t="n">
        <v>12.08</v>
      </c>
      <c r="P27" s="6" t="n">
        <v>0</v>
      </c>
      <c r="Q27" s="5" t="n">
        <f aca="false">N27*O27*(1-P27)</f>
        <v>869.76</v>
      </c>
      <c r="R27" s="5" t="n">
        <v>510.66</v>
      </c>
      <c r="S27" s="6" t="n">
        <f aca="false">IFERROR((Q27-R27)/Q27,0)</f>
        <v>0.412872516556291</v>
      </c>
    </row>
    <row r="28" customFormat="false" ht="15" hidden="false" customHeight="false" outlineLevel="0" collapsed="false">
      <c r="A28" s="2" t="n">
        <v>45326</v>
      </c>
      <c r="B28" s="3" t="s">
        <v>122</v>
      </c>
      <c r="C28" s="3" t="s">
        <v>123</v>
      </c>
      <c r="D28" s="3" t="s">
        <v>124</v>
      </c>
      <c r="E28" s="3" t="s">
        <v>125</v>
      </c>
      <c r="F28" s="3" t="s">
        <v>38</v>
      </c>
      <c r="G28" s="3" t="s">
        <v>39</v>
      </c>
      <c r="H28" s="3" t="s">
        <v>132</v>
      </c>
      <c r="I28" s="3" t="s">
        <v>133</v>
      </c>
      <c r="J28" s="3" t="s">
        <v>27</v>
      </c>
      <c r="K28" s="3" t="s">
        <v>28</v>
      </c>
      <c r="L28" s="3" t="s">
        <v>40</v>
      </c>
      <c r="M28" s="3" t="s">
        <v>38</v>
      </c>
      <c r="N28" s="4" t="n">
        <v>120</v>
      </c>
      <c r="O28" s="5" t="n">
        <v>13.78</v>
      </c>
      <c r="P28" s="6" t="n">
        <v>0</v>
      </c>
      <c r="Q28" s="5" t="n">
        <f aca="false">N28*O28*(1-P28)</f>
        <v>1653.6</v>
      </c>
      <c r="R28" s="5" t="n">
        <v>966.8</v>
      </c>
      <c r="S28" s="6" t="n">
        <f aca="false">IFERROR((Q28-R28)/Q28,0)</f>
        <v>0.415336236090953</v>
      </c>
    </row>
    <row r="29" customFormat="false" ht="15" hidden="false" customHeight="false" outlineLevel="0" collapsed="false">
      <c r="A29" s="2" t="n">
        <v>45334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45</v>
      </c>
      <c r="G29" s="3" t="s">
        <v>39</v>
      </c>
      <c r="H29" s="3" t="s">
        <v>138</v>
      </c>
      <c r="I29" s="3" t="s">
        <v>139</v>
      </c>
      <c r="J29" s="3" t="s">
        <v>27</v>
      </c>
      <c r="K29" s="3" t="s">
        <v>140</v>
      </c>
      <c r="L29" s="3" t="s">
        <v>50</v>
      </c>
      <c r="M29" s="3" t="s">
        <v>45</v>
      </c>
      <c r="N29" s="4" t="n">
        <v>48</v>
      </c>
      <c r="O29" s="5" t="n">
        <v>4.09</v>
      </c>
      <c r="P29" s="6" t="n">
        <v>0</v>
      </c>
      <c r="Q29" s="5" t="n">
        <f aca="false">N29*O29*(1-P29)</f>
        <v>196.32</v>
      </c>
      <c r="R29" s="5" t="n">
        <v>110.56</v>
      </c>
      <c r="S29" s="6" t="n">
        <f aca="false">IFERROR((Q29-R29)/Q29,0)</f>
        <v>0.436837815810921</v>
      </c>
    </row>
    <row r="30" customFormat="false" ht="15" hidden="false" customHeight="false" outlineLevel="0" collapsed="false">
      <c r="A30" s="2" t="n">
        <v>45334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45</v>
      </c>
      <c r="G30" s="3" t="s">
        <v>39</v>
      </c>
      <c r="H30" s="3" t="s">
        <v>141</v>
      </c>
      <c r="I30" s="3" t="s">
        <v>142</v>
      </c>
      <c r="J30" s="3" t="s">
        <v>89</v>
      </c>
      <c r="K30" s="3" t="s">
        <v>100</v>
      </c>
      <c r="L30" s="3" t="s">
        <v>50</v>
      </c>
      <c r="M30" s="3" t="s">
        <v>45</v>
      </c>
      <c r="N30" s="4" t="n">
        <v>12</v>
      </c>
      <c r="O30" s="5" t="n">
        <v>19.2</v>
      </c>
      <c r="P30" s="6" t="n">
        <v>0.05</v>
      </c>
      <c r="Q30" s="5" t="n">
        <f aca="false">N30*O30*(1-P30)</f>
        <v>218.88</v>
      </c>
      <c r="R30" s="5" t="n">
        <v>147.75</v>
      </c>
      <c r="S30" s="6" t="n">
        <f aca="false">IFERROR((Q30-R30)/Q30,0)</f>
        <v>0.324972587719298</v>
      </c>
    </row>
    <row r="31" customFormat="false" ht="15" hidden="false" customHeight="false" outlineLevel="0" collapsed="false">
      <c r="A31" s="2" t="n">
        <v>45334</v>
      </c>
      <c r="B31" s="3" t="s">
        <v>134</v>
      </c>
      <c r="C31" s="3" t="s">
        <v>135</v>
      </c>
      <c r="D31" s="3" t="s">
        <v>136</v>
      </c>
      <c r="E31" s="3" t="s">
        <v>137</v>
      </c>
      <c r="F31" s="3" t="s">
        <v>45</v>
      </c>
      <c r="G31" s="3" t="s">
        <v>39</v>
      </c>
      <c r="H31" s="3" t="s">
        <v>98</v>
      </c>
      <c r="I31" s="3" t="s">
        <v>99</v>
      </c>
      <c r="J31" s="3" t="s">
        <v>89</v>
      </c>
      <c r="K31" s="3" t="s">
        <v>100</v>
      </c>
      <c r="L31" s="3" t="s">
        <v>50</v>
      </c>
      <c r="M31" s="3" t="s">
        <v>45</v>
      </c>
      <c r="N31" s="4" t="n">
        <v>6</v>
      </c>
      <c r="O31" s="5" t="n">
        <v>21.87</v>
      </c>
      <c r="P31" s="6" t="n">
        <v>0.05</v>
      </c>
      <c r="Q31" s="5" t="n">
        <f aca="false">N31*O31*(1-P31)</f>
        <v>124.659</v>
      </c>
      <c r="R31" s="5" t="n">
        <v>82.71</v>
      </c>
      <c r="S31" s="6" t="n">
        <f aca="false">IFERROR((Q31-R31)/Q31,0)</f>
        <v>0.336509999278031</v>
      </c>
    </row>
    <row r="32" customFormat="false" ht="15" hidden="false" customHeight="false" outlineLevel="0" collapsed="false">
      <c r="A32" s="2" t="n">
        <v>45335</v>
      </c>
      <c r="B32" s="3" t="s">
        <v>143</v>
      </c>
      <c r="C32" s="3" t="s">
        <v>135</v>
      </c>
      <c r="D32" s="3" t="s">
        <v>136</v>
      </c>
      <c r="E32" s="3" t="s">
        <v>137</v>
      </c>
      <c r="F32" s="3" t="s">
        <v>45</v>
      </c>
      <c r="G32" s="3" t="s">
        <v>39</v>
      </c>
      <c r="H32" s="3" t="s">
        <v>96</v>
      </c>
      <c r="I32" s="3" t="s">
        <v>97</v>
      </c>
      <c r="J32" s="3" t="s">
        <v>48</v>
      </c>
      <c r="K32" s="3" t="s">
        <v>75</v>
      </c>
      <c r="L32" s="3" t="s">
        <v>50</v>
      </c>
      <c r="M32" s="3" t="s">
        <v>45</v>
      </c>
      <c r="N32" s="4" t="n">
        <v>48</v>
      </c>
      <c r="O32" s="5" t="n">
        <v>8.41</v>
      </c>
      <c r="P32" s="6" t="n">
        <v>0.05</v>
      </c>
      <c r="Q32" s="5" t="n">
        <f aca="false">N32*O32*(1-P32)</f>
        <v>383.496</v>
      </c>
      <c r="R32" s="5" t="n">
        <v>232.06</v>
      </c>
      <c r="S32" s="6" t="n">
        <f aca="false">IFERROR((Q32-R32)/Q32,0)</f>
        <v>0.394882867096397</v>
      </c>
    </row>
    <row r="33" customFormat="false" ht="15" hidden="false" customHeight="false" outlineLevel="0" collapsed="false">
      <c r="A33" s="2" t="n">
        <v>45337</v>
      </c>
      <c r="B33" s="3" t="s">
        <v>144</v>
      </c>
      <c r="C33" s="3" t="s">
        <v>62</v>
      </c>
      <c r="D33" s="3" t="s">
        <v>63</v>
      </c>
      <c r="E33" s="3" t="s">
        <v>64</v>
      </c>
      <c r="F33" s="3" t="s">
        <v>38</v>
      </c>
      <c r="G33" s="3" t="s">
        <v>39</v>
      </c>
      <c r="H33" s="3" t="s">
        <v>145</v>
      </c>
      <c r="I33" s="3" t="s">
        <v>146</v>
      </c>
      <c r="J33" s="3" t="s">
        <v>32</v>
      </c>
      <c r="K33" s="3" t="s">
        <v>33</v>
      </c>
      <c r="L33" s="3" t="s">
        <v>40</v>
      </c>
      <c r="M33" s="3" t="s">
        <v>38</v>
      </c>
      <c r="N33" s="4" t="n">
        <v>48</v>
      </c>
      <c r="O33" s="5" t="n">
        <v>18.14</v>
      </c>
      <c r="P33" s="6" t="n">
        <v>0</v>
      </c>
      <c r="Q33" s="5" t="n">
        <f aca="false">N33*O33*(1-P33)</f>
        <v>870.72</v>
      </c>
      <c r="R33" s="5" t="n">
        <v>548.7</v>
      </c>
      <c r="S33" s="6" t="n">
        <f aca="false">IFERROR((Q33-R33)/Q33,0)</f>
        <v>0.369831863285557</v>
      </c>
    </row>
    <row r="34" customFormat="false" ht="15" hidden="false" customHeight="false" outlineLevel="0" collapsed="false">
      <c r="A34" s="2" t="n">
        <v>45337</v>
      </c>
      <c r="B34" s="3" t="s">
        <v>144</v>
      </c>
      <c r="C34" s="3" t="s">
        <v>62</v>
      </c>
      <c r="D34" s="3" t="s">
        <v>63</v>
      </c>
      <c r="E34" s="3" t="s">
        <v>64</v>
      </c>
      <c r="F34" s="3" t="s">
        <v>38</v>
      </c>
      <c r="G34" s="3" t="s">
        <v>39</v>
      </c>
      <c r="H34" s="3" t="s">
        <v>147</v>
      </c>
      <c r="I34" s="3" t="s">
        <v>148</v>
      </c>
      <c r="J34" s="3" t="s">
        <v>27</v>
      </c>
      <c r="K34" s="3" t="s">
        <v>149</v>
      </c>
      <c r="L34" s="3" t="s">
        <v>40</v>
      </c>
      <c r="M34" s="3" t="s">
        <v>38</v>
      </c>
      <c r="N34" s="4" t="n">
        <v>6</v>
      </c>
      <c r="O34" s="5" t="n">
        <v>4.17</v>
      </c>
      <c r="P34" s="6" t="n">
        <v>0.1</v>
      </c>
      <c r="Q34" s="5" t="n">
        <f aca="false">N34*O34*(1-P34)</f>
        <v>22.518</v>
      </c>
      <c r="R34" s="5" t="n">
        <v>16.96</v>
      </c>
      <c r="S34" s="6" t="n">
        <f aca="false">IFERROR((Q34-R34)/Q34,0)</f>
        <v>0.246824762412292</v>
      </c>
    </row>
    <row r="35" customFormat="false" ht="15" hidden="false" customHeight="false" outlineLevel="0" collapsed="false">
      <c r="A35" s="2" t="n">
        <v>45337</v>
      </c>
      <c r="B35" s="3" t="s">
        <v>144</v>
      </c>
      <c r="C35" s="3" t="s">
        <v>62</v>
      </c>
      <c r="D35" s="3" t="s">
        <v>63</v>
      </c>
      <c r="E35" s="3" t="s">
        <v>64</v>
      </c>
      <c r="F35" s="3" t="s">
        <v>38</v>
      </c>
      <c r="G35" s="3" t="s">
        <v>39</v>
      </c>
      <c r="H35" s="3" t="s">
        <v>65</v>
      </c>
      <c r="I35" s="3" t="s">
        <v>66</v>
      </c>
      <c r="J35" s="3" t="s">
        <v>67</v>
      </c>
      <c r="K35" s="3" t="s">
        <v>68</v>
      </c>
      <c r="L35" s="3" t="s">
        <v>40</v>
      </c>
      <c r="M35" s="3" t="s">
        <v>38</v>
      </c>
      <c r="N35" s="4" t="n">
        <v>96</v>
      </c>
      <c r="O35" s="5" t="n">
        <v>28.47</v>
      </c>
      <c r="P35" s="6" t="n">
        <v>0.05</v>
      </c>
      <c r="Q35" s="5" t="n">
        <f aca="false">N35*O35*(1-P35)</f>
        <v>2596.464</v>
      </c>
      <c r="R35" s="5" t="n">
        <v>1641.37</v>
      </c>
      <c r="S35" s="6" t="n">
        <f aca="false">IFERROR((Q35-R35)/Q35,0)</f>
        <v>0.367844114149089</v>
      </c>
    </row>
    <row r="36" customFormat="false" ht="15" hidden="false" customHeight="false" outlineLevel="0" collapsed="false">
      <c r="A36" s="2" t="n">
        <v>45338</v>
      </c>
      <c r="B36" s="3" t="s">
        <v>150</v>
      </c>
      <c r="C36" s="3" t="s">
        <v>151</v>
      </c>
      <c r="D36" s="3" t="s">
        <v>152</v>
      </c>
      <c r="E36" s="3" t="s">
        <v>153</v>
      </c>
      <c r="F36" s="3" t="s">
        <v>38</v>
      </c>
      <c r="G36" s="3" t="s">
        <v>95</v>
      </c>
      <c r="H36" s="3" t="s">
        <v>51</v>
      </c>
      <c r="I36" s="3" t="s">
        <v>52</v>
      </c>
      <c r="J36" s="3" t="s">
        <v>27</v>
      </c>
      <c r="K36" s="3" t="s">
        <v>53</v>
      </c>
      <c r="L36" s="3" t="s">
        <v>40</v>
      </c>
      <c r="M36" s="3" t="s">
        <v>38</v>
      </c>
      <c r="N36" s="4" t="n">
        <v>72</v>
      </c>
      <c r="O36" s="5" t="n">
        <v>24.05</v>
      </c>
      <c r="P36" s="6" t="n">
        <v>0.05</v>
      </c>
      <c r="Q36" s="5" t="n">
        <f aca="false">N36*O36*(1-P36)</f>
        <v>1645.02</v>
      </c>
      <c r="R36" s="5" t="n">
        <v>989.99</v>
      </c>
      <c r="S36" s="6" t="n">
        <f aca="false">IFERROR((Q36-R36)/Q36,0)</f>
        <v>0.398189687663372</v>
      </c>
    </row>
    <row r="37" customFormat="false" ht="15" hidden="false" customHeight="false" outlineLevel="0" collapsed="false">
      <c r="A37" s="2" t="n">
        <v>45338</v>
      </c>
      <c r="B37" s="3" t="s">
        <v>150</v>
      </c>
      <c r="C37" s="3" t="s">
        <v>151</v>
      </c>
      <c r="D37" s="3" t="s">
        <v>152</v>
      </c>
      <c r="E37" s="3" t="s">
        <v>153</v>
      </c>
      <c r="F37" s="3" t="s">
        <v>38</v>
      </c>
      <c r="G37" s="3" t="s">
        <v>95</v>
      </c>
      <c r="H37" s="3" t="s">
        <v>145</v>
      </c>
      <c r="I37" s="3" t="s">
        <v>146</v>
      </c>
      <c r="J37" s="3" t="s">
        <v>32</v>
      </c>
      <c r="K37" s="3" t="s">
        <v>33</v>
      </c>
      <c r="L37" s="3" t="s">
        <v>40</v>
      </c>
      <c r="M37" s="3" t="s">
        <v>38</v>
      </c>
      <c r="N37" s="4" t="n">
        <v>48</v>
      </c>
      <c r="O37" s="5" t="n">
        <v>18.56</v>
      </c>
      <c r="P37" s="6" t="n">
        <v>0</v>
      </c>
      <c r="Q37" s="5" t="n">
        <f aca="false">N37*O37*(1-P37)</f>
        <v>890.88</v>
      </c>
      <c r="R37" s="5" t="n">
        <v>549.24</v>
      </c>
      <c r="S37" s="6" t="n">
        <f aca="false">IFERROR((Q37-R37)/Q37,0)</f>
        <v>0.38348599137931</v>
      </c>
    </row>
    <row r="38" customFormat="false" ht="15" hidden="false" customHeight="false" outlineLevel="0" collapsed="false">
      <c r="A38" s="2" t="n">
        <v>45339</v>
      </c>
      <c r="B38" s="3" t="s">
        <v>154</v>
      </c>
      <c r="C38" s="3" t="s">
        <v>155</v>
      </c>
      <c r="D38" s="3" t="s">
        <v>156</v>
      </c>
      <c r="E38" s="3" t="s">
        <v>157</v>
      </c>
      <c r="F38" s="3" t="s">
        <v>38</v>
      </c>
      <c r="G38" s="3" t="s">
        <v>39</v>
      </c>
      <c r="H38" s="3" t="s">
        <v>158</v>
      </c>
      <c r="I38" s="3" t="s">
        <v>159</v>
      </c>
      <c r="J38" s="3" t="s">
        <v>27</v>
      </c>
      <c r="K38" s="3" t="s">
        <v>149</v>
      </c>
      <c r="L38" s="3" t="s">
        <v>40</v>
      </c>
      <c r="M38" s="3" t="s">
        <v>38</v>
      </c>
      <c r="N38" s="4" t="n">
        <v>96</v>
      </c>
      <c r="O38" s="5" t="n">
        <v>7.4</v>
      </c>
      <c r="P38" s="6" t="n">
        <v>0</v>
      </c>
      <c r="Q38" s="5" t="n">
        <f aca="false">N38*O38*(1-P38)</f>
        <v>710.4</v>
      </c>
      <c r="R38" s="5" t="n">
        <v>438.46</v>
      </c>
      <c r="S38" s="6" t="n">
        <f aca="false">IFERROR((Q38-R38)/Q38,0)</f>
        <v>0.382798423423424</v>
      </c>
    </row>
    <row r="39" customFormat="false" ht="15" hidden="false" customHeight="false" outlineLevel="0" collapsed="false">
      <c r="A39" s="2" t="n">
        <v>45339</v>
      </c>
      <c r="B39" s="3" t="s">
        <v>154</v>
      </c>
      <c r="C39" s="3" t="s">
        <v>155</v>
      </c>
      <c r="D39" s="3" t="s">
        <v>156</v>
      </c>
      <c r="E39" s="3" t="s">
        <v>157</v>
      </c>
      <c r="F39" s="3" t="s">
        <v>38</v>
      </c>
      <c r="G39" s="3" t="s">
        <v>39</v>
      </c>
      <c r="H39" s="3" t="s">
        <v>65</v>
      </c>
      <c r="I39" s="3" t="s">
        <v>66</v>
      </c>
      <c r="J39" s="3" t="s">
        <v>67</v>
      </c>
      <c r="K39" s="3" t="s">
        <v>68</v>
      </c>
      <c r="L39" s="3" t="s">
        <v>40</v>
      </c>
      <c r="M39" s="3" t="s">
        <v>38</v>
      </c>
      <c r="N39" s="4" t="n">
        <v>48</v>
      </c>
      <c r="O39" s="5" t="n">
        <v>28.41</v>
      </c>
      <c r="P39" s="6" t="n">
        <v>0.05</v>
      </c>
      <c r="Q39" s="5" t="n">
        <f aca="false">N39*O39*(1-P39)</f>
        <v>1295.496</v>
      </c>
      <c r="R39" s="5" t="n">
        <v>819.1</v>
      </c>
      <c r="S39" s="6" t="n">
        <f aca="false">IFERROR((Q39-R39)/Q39,0)</f>
        <v>0.36773251326133</v>
      </c>
    </row>
    <row r="40" customFormat="false" ht="15" hidden="false" customHeight="false" outlineLevel="0" collapsed="false">
      <c r="A40" s="2" t="n">
        <v>45339</v>
      </c>
      <c r="B40" s="3" t="s">
        <v>160</v>
      </c>
      <c r="C40" s="3" t="s">
        <v>161</v>
      </c>
      <c r="D40" s="3" t="s">
        <v>162</v>
      </c>
      <c r="E40" s="3" t="s">
        <v>163</v>
      </c>
      <c r="F40" s="3" t="s">
        <v>38</v>
      </c>
      <c r="G40" s="3" t="s">
        <v>24</v>
      </c>
      <c r="H40" s="3" t="s">
        <v>54</v>
      </c>
      <c r="I40" s="3" t="s">
        <v>55</v>
      </c>
      <c r="J40" s="3" t="s">
        <v>56</v>
      </c>
      <c r="K40" s="3" t="s">
        <v>57</v>
      </c>
      <c r="L40" s="3" t="s">
        <v>40</v>
      </c>
      <c r="M40" s="3" t="s">
        <v>38</v>
      </c>
      <c r="N40" s="4" t="n">
        <v>6</v>
      </c>
      <c r="O40" s="5" t="n">
        <v>4.75</v>
      </c>
      <c r="P40" s="6" t="n">
        <v>0</v>
      </c>
      <c r="Q40" s="5" t="n">
        <f aca="false">N40*O40*(1-P40)</f>
        <v>28.5</v>
      </c>
      <c r="R40" s="5" t="n">
        <v>17.47</v>
      </c>
      <c r="S40" s="6" t="n">
        <f aca="false">IFERROR((Q40-R40)/Q40,0)</f>
        <v>0.387017543859649</v>
      </c>
    </row>
    <row r="41" customFormat="false" ht="15" hidden="false" customHeight="false" outlineLevel="0" collapsed="false">
      <c r="A41" s="2" t="n">
        <v>45339</v>
      </c>
      <c r="B41" s="3" t="s">
        <v>160</v>
      </c>
      <c r="C41" s="3" t="s">
        <v>161</v>
      </c>
      <c r="D41" s="3" t="s">
        <v>162</v>
      </c>
      <c r="E41" s="3" t="s">
        <v>163</v>
      </c>
      <c r="F41" s="3" t="s">
        <v>38</v>
      </c>
      <c r="G41" s="3" t="s">
        <v>24</v>
      </c>
      <c r="H41" s="3" t="s">
        <v>81</v>
      </c>
      <c r="I41" s="3" t="s">
        <v>82</v>
      </c>
      <c r="J41" s="3" t="s">
        <v>32</v>
      </c>
      <c r="K41" s="3" t="s">
        <v>83</v>
      </c>
      <c r="L41" s="3" t="s">
        <v>40</v>
      </c>
      <c r="M41" s="3" t="s">
        <v>38</v>
      </c>
      <c r="N41" s="4" t="n">
        <v>6</v>
      </c>
      <c r="O41" s="5" t="n">
        <v>20.13</v>
      </c>
      <c r="P41" s="6" t="n">
        <v>0</v>
      </c>
      <c r="Q41" s="5" t="n">
        <f aca="false">N41*O41*(1-P41)</f>
        <v>120.78</v>
      </c>
      <c r="R41" s="5" t="n">
        <v>80.7</v>
      </c>
      <c r="S41" s="6" t="n">
        <f aca="false">IFERROR((Q41-R41)/Q41,0)</f>
        <v>0.331843020367611</v>
      </c>
    </row>
    <row r="42" customFormat="false" ht="15" hidden="false" customHeight="false" outlineLevel="0" collapsed="false">
      <c r="A42" s="2" t="n">
        <v>45339</v>
      </c>
      <c r="B42" s="3" t="s">
        <v>160</v>
      </c>
      <c r="C42" s="3" t="s">
        <v>161</v>
      </c>
      <c r="D42" s="3" t="s">
        <v>162</v>
      </c>
      <c r="E42" s="3" t="s">
        <v>163</v>
      </c>
      <c r="F42" s="3" t="s">
        <v>38</v>
      </c>
      <c r="G42" s="3" t="s">
        <v>24</v>
      </c>
      <c r="H42" s="3" t="s">
        <v>164</v>
      </c>
      <c r="I42" s="3" t="s">
        <v>165</v>
      </c>
      <c r="J42" s="3" t="s">
        <v>32</v>
      </c>
      <c r="K42" s="3" t="s">
        <v>60</v>
      </c>
      <c r="L42" s="3" t="s">
        <v>40</v>
      </c>
      <c r="M42" s="3" t="s">
        <v>38</v>
      </c>
      <c r="N42" s="4" t="n">
        <v>60</v>
      </c>
      <c r="O42" s="5" t="n">
        <v>14.87</v>
      </c>
      <c r="P42" s="6" t="n">
        <v>0</v>
      </c>
      <c r="Q42" s="5" t="n">
        <f aca="false">N42*O42*(1-P42)</f>
        <v>892.2</v>
      </c>
      <c r="R42" s="5" t="n">
        <v>522.46</v>
      </c>
      <c r="S42" s="6" t="n">
        <f aca="false">IFERROR((Q42-R42)/Q42,0)</f>
        <v>0.414413808563102</v>
      </c>
    </row>
    <row r="43" customFormat="false" ht="15" hidden="false" customHeight="false" outlineLevel="0" collapsed="false">
      <c r="A43" s="2" t="n">
        <v>45342</v>
      </c>
      <c r="B43" s="3" t="s">
        <v>166</v>
      </c>
      <c r="C43" s="3" t="s">
        <v>167</v>
      </c>
      <c r="D43" s="3" t="s">
        <v>168</v>
      </c>
      <c r="E43" s="3" t="s">
        <v>169</v>
      </c>
      <c r="F43" s="3" t="s">
        <v>170</v>
      </c>
      <c r="G43" s="3" t="s">
        <v>39</v>
      </c>
      <c r="H43" s="3" t="s">
        <v>147</v>
      </c>
      <c r="I43" s="3" t="s">
        <v>148</v>
      </c>
      <c r="J43" s="3" t="s">
        <v>27</v>
      </c>
      <c r="K43" s="3" t="s">
        <v>149</v>
      </c>
      <c r="L43" s="3" t="s">
        <v>106</v>
      </c>
      <c r="M43" s="3" t="s">
        <v>107</v>
      </c>
      <c r="N43" s="4" t="n">
        <v>24</v>
      </c>
      <c r="O43" s="5" t="n">
        <v>4.46</v>
      </c>
      <c r="P43" s="6" t="n">
        <v>0</v>
      </c>
      <c r="Q43" s="5" t="n">
        <f aca="false">N43*O43*(1-P43)</f>
        <v>107.04</v>
      </c>
      <c r="R43" s="5" t="n">
        <v>68.52</v>
      </c>
      <c r="S43" s="6" t="n">
        <f aca="false">IFERROR((Q43-R43)/Q43,0)</f>
        <v>0.359865470852018</v>
      </c>
    </row>
    <row r="44" customFormat="false" ht="15" hidden="false" customHeight="false" outlineLevel="0" collapsed="false">
      <c r="A44" s="2" t="n">
        <v>45342</v>
      </c>
      <c r="B44" s="3" t="s">
        <v>166</v>
      </c>
      <c r="C44" s="3" t="s">
        <v>167</v>
      </c>
      <c r="D44" s="3" t="s">
        <v>168</v>
      </c>
      <c r="E44" s="3" t="s">
        <v>169</v>
      </c>
      <c r="F44" s="3" t="s">
        <v>170</v>
      </c>
      <c r="G44" s="3" t="s">
        <v>39</v>
      </c>
      <c r="H44" s="3" t="s">
        <v>171</v>
      </c>
      <c r="I44" s="3" t="s">
        <v>172</v>
      </c>
      <c r="J44" s="3" t="s">
        <v>27</v>
      </c>
      <c r="K44" s="3" t="s">
        <v>140</v>
      </c>
      <c r="L44" s="3" t="s">
        <v>106</v>
      </c>
      <c r="M44" s="3" t="s">
        <v>107</v>
      </c>
      <c r="N44" s="4" t="n">
        <v>24</v>
      </c>
      <c r="O44" s="5" t="n">
        <v>4.46</v>
      </c>
      <c r="P44" s="6" t="n">
        <v>0</v>
      </c>
      <c r="Q44" s="5" t="n">
        <f aca="false">N44*O44*(1-P44)</f>
        <v>107.04</v>
      </c>
      <c r="R44" s="5" t="n">
        <v>59.18</v>
      </c>
      <c r="S44" s="6" t="n">
        <f aca="false">IFERROR((Q44-R44)/Q44,0)</f>
        <v>0.447122571001495</v>
      </c>
    </row>
    <row r="45" customFormat="false" ht="15" hidden="false" customHeight="false" outlineLevel="0" collapsed="false">
      <c r="A45" s="2" t="n">
        <v>45342</v>
      </c>
      <c r="B45" s="3" t="s">
        <v>166</v>
      </c>
      <c r="C45" s="3" t="s">
        <v>167</v>
      </c>
      <c r="D45" s="3" t="s">
        <v>168</v>
      </c>
      <c r="E45" s="3" t="s">
        <v>169</v>
      </c>
      <c r="F45" s="3" t="s">
        <v>170</v>
      </c>
      <c r="G45" s="3" t="s">
        <v>39</v>
      </c>
      <c r="H45" s="3" t="s">
        <v>98</v>
      </c>
      <c r="I45" s="3" t="s">
        <v>99</v>
      </c>
      <c r="J45" s="3" t="s">
        <v>89</v>
      </c>
      <c r="K45" s="3" t="s">
        <v>100</v>
      </c>
      <c r="L45" s="3" t="s">
        <v>106</v>
      </c>
      <c r="M45" s="3" t="s">
        <v>107</v>
      </c>
      <c r="N45" s="4" t="n">
        <v>60</v>
      </c>
      <c r="O45" s="5" t="n">
        <v>21.32</v>
      </c>
      <c r="P45" s="6" t="n">
        <v>0.05</v>
      </c>
      <c r="Q45" s="5" t="n">
        <f aca="false">N45*O45*(1-P45)</f>
        <v>1215.24</v>
      </c>
      <c r="R45" s="5" t="n">
        <v>831.61</v>
      </c>
      <c r="S45" s="6" t="n">
        <f aca="false">IFERROR((Q45-R45)/Q45,0)</f>
        <v>0.315682498930252</v>
      </c>
    </row>
    <row r="46" customFormat="false" ht="15" hidden="false" customHeight="false" outlineLevel="0" collapsed="false">
      <c r="A46" s="2" t="n">
        <v>45342</v>
      </c>
      <c r="B46" s="3" t="s">
        <v>166</v>
      </c>
      <c r="C46" s="3" t="s">
        <v>167</v>
      </c>
      <c r="D46" s="3" t="s">
        <v>168</v>
      </c>
      <c r="E46" s="3" t="s">
        <v>169</v>
      </c>
      <c r="F46" s="3" t="s">
        <v>170</v>
      </c>
      <c r="G46" s="3" t="s">
        <v>39</v>
      </c>
      <c r="H46" s="3" t="s">
        <v>173</v>
      </c>
      <c r="I46" s="3" t="s">
        <v>174</v>
      </c>
      <c r="J46" s="3" t="s">
        <v>27</v>
      </c>
      <c r="K46" s="3" t="s">
        <v>175</v>
      </c>
      <c r="L46" s="3" t="s">
        <v>106</v>
      </c>
      <c r="M46" s="3" t="s">
        <v>107</v>
      </c>
      <c r="N46" s="4" t="n">
        <v>24</v>
      </c>
      <c r="O46" s="5" t="n">
        <v>16.52</v>
      </c>
      <c r="P46" s="6" t="n">
        <v>0</v>
      </c>
      <c r="Q46" s="5" t="n">
        <f aca="false">N46*O46*(1-P46)</f>
        <v>396.48</v>
      </c>
      <c r="R46" s="5" t="n">
        <v>266.39</v>
      </c>
      <c r="S46" s="6" t="n">
        <f aca="false">IFERROR((Q46-R46)/Q46,0)</f>
        <v>0.328112389023406</v>
      </c>
    </row>
    <row r="47" customFormat="false" ht="15" hidden="false" customHeight="false" outlineLevel="0" collapsed="false">
      <c r="A47" s="2" t="n">
        <v>45343</v>
      </c>
      <c r="B47" s="3" t="s">
        <v>176</v>
      </c>
      <c r="C47" s="3" t="s">
        <v>177</v>
      </c>
      <c r="D47" s="3" t="s">
        <v>178</v>
      </c>
      <c r="E47" s="3" t="s">
        <v>179</v>
      </c>
      <c r="F47" s="3" t="s">
        <v>180</v>
      </c>
      <c r="G47" s="3" t="s">
        <v>24</v>
      </c>
      <c r="H47" s="3" t="s">
        <v>73</v>
      </c>
      <c r="I47" s="3" t="s">
        <v>74</v>
      </c>
      <c r="J47" s="3" t="s">
        <v>48</v>
      </c>
      <c r="K47" s="3" t="s">
        <v>75</v>
      </c>
      <c r="L47" s="3" t="s">
        <v>181</v>
      </c>
      <c r="M47" s="3" t="s">
        <v>180</v>
      </c>
      <c r="N47" s="4" t="n">
        <v>24</v>
      </c>
      <c r="O47" s="5" t="n">
        <v>9.23</v>
      </c>
      <c r="P47" s="6" t="n">
        <v>0.05</v>
      </c>
      <c r="Q47" s="5" t="n">
        <f aca="false">N47*O47*(1-P47)</f>
        <v>210.444</v>
      </c>
      <c r="R47" s="5" t="n">
        <v>131.11</v>
      </c>
      <c r="S47" s="6" t="n">
        <f aca="false">IFERROR((Q47-R47)/Q47,0)</f>
        <v>0.376983900705176</v>
      </c>
    </row>
    <row r="48" customFormat="false" ht="15" hidden="false" customHeight="false" outlineLevel="0" collapsed="false">
      <c r="A48" s="2" t="n">
        <v>45343</v>
      </c>
      <c r="B48" s="3" t="s">
        <v>176</v>
      </c>
      <c r="C48" s="3" t="s">
        <v>177</v>
      </c>
      <c r="D48" s="3" t="s">
        <v>178</v>
      </c>
      <c r="E48" s="3" t="s">
        <v>179</v>
      </c>
      <c r="F48" s="3" t="s">
        <v>180</v>
      </c>
      <c r="G48" s="3" t="s">
        <v>24</v>
      </c>
      <c r="H48" s="3" t="s">
        <v>46</v>
      </c>
      <c r="I48" s="3" t="s">
        <v>47</v>
      </c>
      <c r="J48" s="3" t="s">
        <v>48</v>
      </c>
      <c r="K48" s="3" t="s">
        <v>49</v>
      </c>
      <c r="L48" s="3" t="s">
        <v>181</v>
      </c>
      <c r="M48" s="3" t="s">
        <v>180</v>
      </c>
      <c r="N48" s="4" t="n">
        <v>72</v>
      </c>
      <c r="O48" s="5" t="n">
        <v>14.69</v>
      </c>
      <c r="P48" s="6" t="n">
        <v>0.15</v>
      </c>
      <c r="Q48" s="5" t="n">
        <f aca="false">N48*O48*(1-P48)</f>
        <v>899.028</v>
      </c>
      <c r="R48" s="5" t="n">
        <v>682.04</v>
      </c>
      <c r="S48" s="6" t="n">
        <f aca="false">IFERROR((Q48-R48)/Q48,0)</f>
        <v>0.241358444898268</v>
      </c>
    </row>
    <row r="49" customFormat="false" ht="15" hidden="false" customHeight="false" outlineLevel="0" collapsed="false">
      <c r="A49" s="2" t="n">
        <v>45343</v>
      </c>
      <c r="B49" s="3" t="s">
        <v>176</v>
      </c>
      <c r="C49" s="3" t="s">
        <v>177</v>
      </c>
      <c r="D49" s="3" t="s">
        <v>178</v>
      </c>
      <c r="E49" s="3" t="s">
        <v>179</v>
      </c>
      <c r="F49" s="3" t="s">
        <v>180</v>
      </c>
      <c r="G49" s="3" t="s">
        <v>24</v>
      </c>
      <c r="H49" s="3" t="s">
        <v>182</v>
      </c>
      <c r="I49" s="3" t="s">
        <v>183</v>
      </c>
      <c r="J49" s="3" t="s">
        <v>67</v>
      </c>
      <c r="K49" s="3" t="s">
        <v>184</v>
      </c>
      <c r="L49" s="3" t="s">
        <v>181</v>
      </c>
      <c r="M49" s="3" t="s">
        <v>180</v>
      </c>
      <c r="N49" s="4" t="n">
        <v>72</v>
      </c>
      <c r="O49" s="5" t="n">
        <v>11.95</v>
      </c>
      <c r="P49" s="6" t="n">
        <v>0</v>
      </c>
      <c r="Q49" s="5" t="n">
        <f aca="false">N49*O49*(1-P49)</f>
        <v>860.4</v>
      </c>
      <c r="R49" s="5" t="n">
        <v>558.87</v>
      </c>
      <c r="S49" s="6" t="n">
        <f aca="false">IFERROR((Q49-R49)/Q49,0)</f>
        <v>0.350453277545328</v>
      </c>
    </row>
    <row r="50" customFormat="false" ht="15" hidden="false" customHeight="false" outlineLevel="0" collapsed="false">
      <c r="A50" s="2" t="n">
        <v>45344</v>
      </c>
      <c r="B50" s="3" t="s">
        <v>185</v>
      </c>
      <c r="C50" s="3" t="s">
        <v>135</v>
      </c>
      <c r="D50" s="3" t="s">
        <v>136</v>
      </c>
      <c r="E50" s="3" t="s">
        <v>137</v>
      </c>
      <c r="F50" s="3" t="s">
        <v>45</v>
      </c>
      <c r="G50" s="3" t="s">
        <v>39</v>
      </c>
      <c r="H50" s="3" t="s">
        <v>141</v>
      </c>
      <c r="I50" s="3" t="s">
        <v>142</v>
      </c>
      <c r="J50" s="3" t="s">
        <v>89</v>
      </c>
      <c r="K50" s="3" t="s">
        <v>100</v>
      </c>
      <c r="L50" s="3" t="s">
        <v>50</v>
      </c>
      <c r="M50" s="3" t="s">
        <v>45</v>
      </c>
      <c r="N50" s="4" t="n">
        <v>72</v>
      </c>
      <c r="O50" s="5" t="n">
        <v>19.99</v>
      </c>
      <c r="P50" s="6" t="n">
        <v>0</v>
      </c>
      <c r="Q50" s="5" t="n">
        <f aca="false">N50*O50*(1-P50)</f>
        <v>1439.28</v>
      </c>
      <c r="R50" s="5" t="n">
        <v>871.32</v>
      </c>
      <c r="S50" s="6" t="n">
        <f aca="false">IFERROR((Q50-R50)/Q50,0)</f>
        <v>0.394613973653493</v>
      </c>
    </row>
    <row r="51" customFormat="false" ht="15" hidden="false" customHeight="false" outlineLevel="0" collapsed="false">
      <c r="A51" s="2" t="n">
        <v>45346</v>
      </c>
      <c r="B51" s="3" t="s">
        <v>186</v>
      </c>
      <c r="C51" s="3" t="s">
        <v>77</v>
      </c>
      <c r="D51" s="3" t="s">
        <v>78</v>
      </c>
      <c r="E51" s="3" t="s">
        <v>79</v>
      </c>
      <c r="F51" s="3" t="s">
        <v>45</v>
      </c>
      <c r="G51" s="3" t="s">
        <v>80</v>
      </c>
      <c r="H51" s="3" t="s">
        <v>108</v>
      </c>
      <c r="I51" s="3" t="s">
        <v>109</v>
      </c>
      <c r="J51" s="3" t="s">
        <v>48</v>
      </c>
      <c r="K51" s="3" t="s">
        <v>110</v>
      </c>
      <c r="L51" s="3" t="s">
        <v>50</v>
      </c>
      <c r="M51" s="3" t="s">
        <v>45</v>
      </c>
      <c r="N51" s="4" t="n">
        <v>120</v>
      </c>
      <c r="O51" s="5" t="n">
        <v>7.44</v>
      </c>
      <c r="P51" s="6" t="n">
        <v>0.05</v>
      </c>
      <c r="Q51" s="5" t="n">
        <f aca="false">N51*O51*(1-P51)</f>
        <v>848.16</v>
      </c>
      <c r="R51" s="5" t="n">
        <v>509.32</v>
      </c>
      <c r="S51" s="6" t="n">
        <f aca="false">IFERROR((Q51-R51)/Q51,0)</f>
        <v>0.399500094321826</v>
      </c>
    </row>
    <row r="52" customFormat="false" ht="15" hidden="false" customHeight="false" outlineLevel="0" collapsed="false">
      <c r="A52" s="2" t="n">
        <v>45346</v>
      </c>
      <c r="B52" s="3" t="s">
        <v>186</v>
      </c>
      <c r="C52" s="3" t="s">
        <v>77</v>
      </c>
      <c r="D52" s="3" t="s">
        <v>78</v>
      </c>
      <c r="E52" s="3" t="s">
        <v>79</v>
      </c>
      <c r="F52" s="3" t="s">
        <v>45</v>
      </c>
      <c r="G52" s="3" t="s">
        <v>80</v>
      </c>
      <c r="H52" s="3" t="s">
        <v>84</v>
      </c>
      <c r="I52" s="3" t="s">
        <v>85</v>
      </c>
      <c r="J52" s="3" t="s">
        <v>56</v>
      </c>
      <c r="K52" s="3" t="s">
        <v>86</v>
      </c>
      <c r="L52" s="3" t="s">
        <v>50</v>
      </c>
      <c r="M52" s="3" t="s">
        <v>45</v>
      </c>
      <c r="N52" s="4" t="n">
        <v>60</v>
      </c>
      <c r="O52" s="5" t="n">
        <v>5.3</v>
      </c>
      <c r="P52" s="6" t="n">
        <v>0.15</v>
      </c>
      <c r="Q52" s="5" t="n">
        <f aca="false">N52*O52*(1-P52)</f>
        <v>270.3</v>
      </c>
      <c r="R52" s="5" t="n">
        <v>188.04</v>
      </c>
      <c r="S52" s="6" t="n">
        <f aca="false">IFERROR((Q52-R52)/Q52,0)</f>
        <v>0.304328523862375</v>
      </c>
    </row>
    <row r="53" customFormat="false" ht="15" hidden="false" customHeight="false" outlineLevel="0" collapsed="false">
      <c r="A53" s="2" t="n">
        <v>45346</v>
      </c>
      <c r="B53" s="3" t="s">
        <v>186</v>
      </c>
      <c r="C53" s="3" t="s">
        <v>77</v>
      </c>
      <c r="D53" s="3" t="s">
        <v>78</v>
      </c>
      <c r="E53" s="3" t="s">
        <v>79</v>
      </c>
      <c r="F53" s="3" t="s">
        <v>45</v>
      </c>
      <c r="G53" s="3" t="s">
        <v>80</v>
      </c>
      <c r="H53" s="3" t="s">
        <v>81</v>
      </c>
      <c r="I53" s="3" t="s">
        <v>82</v>
      </c>
      <c r="J53" s="3" t="s">
        <v>32</v>
      </c>
      <c r="K53" s="3" t="s">
        <v>83</v>
      </c>
      <c r="L53" s="3" t="s">
        <v>50</v>
      </c>
      <c r="M53" s="3" t="s">
        <v>45</v>
      </c>
      <c r="N53" s="4" t="n">
        <v>60</v>
      </c>
      <c r="O53" s="5" t="n">
        <v>20.89</v>
      </c>
      <c r="P53" s="6" t="n">
        <v>0</v>
      </c>
      <c r="Q53" s="5" t="n">
        <f aca="false">N53*O53*(1-P53)</f>
        <v>1253.4</v>
      </c>
      <c r="R53" s="5" t="n">
        <v>802.48</v>
      </c>
      <c r="S53" s="6" t="n">
        <f aca="false">IFERROR((Q53-R53)/Q53,0)</f>
        <v>0.35975745970959</v>
      </c>
    </row>
    <row r="54" customFormat="false" ht="15" hidden="false" customHeight="false" outlineLevel="0" collapsed="false">
      <c r="A54" s="2" t="n">
        <v>45346</v>
      </c>
      <c r="B54" s="3" t="s">
        <v>186</v>
      </c>
      <c r="C54" s="3" t="s">
        <v>77</v>
      </c>
      <c r="D54" s="3" t="s">
        <v>78</v>
      </c>
      <c r="E54" s="3" t="s">
        <v>79</v>
      </c>
      <c r="F54" s="3" t="s">
        <v>45</v>
      </c>
      <c r="G54" s="3" t="s">
        <v>80</v>
      </c>
      <c r="H54" s="3" t="s">
        <v>51</v>
      </c>
      <c r="I54" s="3" t="s">
        <v>52</v>
      </c>
      <c r="J54" s="3" t="s">
        <v>27</v>
      </c>
      <c r="K54" s="3" t="s">
        <v>53</v>
      </c>
      <c r="L54" s="3" t="s">
        <v>50</v>
      </c>
      <c r="M54" s="3" t="s">
        <v>45</v>
      </c>
      <c r="N54" s="4" t="n">
        <v>120</v>
      </c>
      <c r="O54" s="5" t="n">
        <v>21.58</v>
      </c>
      <c r="P54" s="6" t="n">
        <v>0.1</v>
      </c>
      <c r="Q54" s="5" t="n">
        <f aca="false">N54*O54*(1-P54)</f>
        <v>2330.64</v>
      </c>
      <c r="R54" s="5" t="n">
        <v>1684.69</v>
      </c>
      <c r="S54" s="6" t="n">
        <f aca="false">IFERROR((Q54-R54)/Q54,0)</f>
        <v>0.277155631071294</v>
      </c>
    </row>
    <row r="55" customFormat="false" ht="15" hidden="false" customHeight="false" outlineLevel="0" collapsed="false">
      <c r="A55" s="2" t="n">
        <v>45346</v>
      </c>
      <c r="B55" s="3" t="s">
        <v>187</v>
      </c>
      <c r="C55" s="3" t="s">
        <v>161</v>
      </c>
      <c r="D55" s="3" t="s">
        <v>162</v>
      </c>
      <c r="E55" s="3" t="s">
        <v>163</v>
      </c>
      <c r="F55" s="3" t="s">
        <v>38</v>
      </c>
      <c r="G55" s="3" t="s">
        <v>24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40</v>
      </c>
      <c r="M55" s="3" t="s">
        <v>38</v>
      </c>
      <c r="N55" s="4" t="n">
        <v>96</v>
      </c>
      <c r="O55" s="5" t="n">
        <v>24.59</v>
      </c>
      <c r="P55" s="6" t="n">
        <v>0.05</v>
      </c>
      <c r="Q55" s="5" t="n">
        <f aca="false">N55*O55*(1-P55)</f>
        <v>2242.608</v>
      </c>
      <c r="R55" s="5" t="n">
        <v>1461.34</v>
      </c>
      <c r="S55" s="6" t="n">
        <f aca="false">IFERROR((Q55-R55)/Q55,0)</f>
        <v>0.348374749398914</v>
      </c>
    </row>
    <row r="56" customFormat="false" ht="15" hidden="false" customHeight="false" outlineLevel="0" collapsed="false">
      <c r="A56" s="2" t="n">
        <v>45346</v>
      </c>
      <c r="B56" s="3" t="s">
        <v>187</v>
      </c>
      <c r="C56" s="3" t="s">
        <v>161</v>
      </c>
      <c r="D56" s="3" t="s">
        <v>162</v>
      </c>
      <c r="E56" s="3" t="s">
        <v>163</v>
      </c>
      <c r="F56" s="3" t="s">
        <v>38</v>
      </c>
      <c r="G56" s="3" t="s">
        <v>24</v>
      </c>
      <c r="H56" s="3" t="s">
        <v>119</v>
      </c>
      <c r="I56" s="3" t="s">
        <v>120</v>
      </c>
      <c r="J56" s="3" t="s">
        <v>89</v>
      </c>
      <c r="K56" s="3" t="s">
        <v>121</v>
      </c>
      <c r="L56" s="3" t="s">
        <v>40</v>
      </c>
      <c r="M56" s="3" t="s">
        <v>38</v>
      </c>
      <c r="N56" s="4" t="n">
        <v>48</v>
      </c>
      <c r="O56" s="5" t="n">
        <v>10.9</v>
      </c>
      <c r="P56" s="6" t="n">
        <v>0</v>
      </c>
      <c r="Q56" s="5" t="n">
        <f aca="false">N56*O56*(1-P56)</f>
        <v>523.2</v>
      </c>
      <c r="R56" s="5" t="n">
        <v>320.87</v>
      </c>
      <c r="S56" s="6" t="n">
        <f aca="false">IFERROR((Q56-R56)/Q56,0)</f>
        <v>0.386716360856269</v>
      </c>
    </row>
    <row r="57" customFormat="false" ht="15" hidden="false" customHeight="false" outlineLevel="0" collapsed="false">
      <c r="A57" s="2" t="n">
        <v>45351</v>
      </c>
      <c r="B57" s="3" t="s">
        <v>188</v>
      </c>
      <c r="C57" s="3" t="s">
        <v>161</v>
      </c>
      <c r="D57" s="3" t="s">
        <v>162</v>
      </c>
      <c r="E57" s="3" t="s">
        <v>163</v>
      </c>
      <c r="F57" s="3" t="s">
        <v>38</v>
      </c>
      <c r="G57" s="3" t="s">
        <v>24</v>
      </c>
      <c r="H57" s="3" t="s">
        <v>189</v>
      </c>
      <c r="I57" s="3" t="s">
        <v>190</v>
      </c>
      <c r="J57" s="3" t="s">
        <v>27</v>
      </c>
      <c r="K57" s="3" t="s">
        <v>149</v>
      </c>
      <c r="L57" s="3" t="s">
        <v>40</v>
      </c>
      <c r="M57" s="3" t="s">
        <v>38</v>
      </c>
      <c r="N57" s="4" t="n">
        <v>120</v>
      </c>
      <c r="O57" s="5" t="n">
        <v>10.1</v>
      </c>
      <c r="P57" s="6" t="n">
        <v>0</v>
      </c>
      <c r="Q57" s="5" t="n">
        <f aca="false">N57*O57*(1-P57)</f>
        <v>1212</v>
      </c>
      <c r="R57" s="5" t="n">
        <v>684.62</v>
      </c>
      <c r="S57" s="6" t="n">
        <f aca="false">IFERROR((Q57-R57)/Q57,0)</f>
        <v>0.43513201320132</v>
      </c>
    </row>
    <row r="58" customFormat="false" ht="15" hidden="false" customHeight="false" outlineLevel="0" collapsed="false">
      <c r="A58" s="2" t="n">
        <v>45351</v>
      </c>
      <c r="B58" s="3" t="s">
        <v>188</v>
      </c>
      <c r="C58" s="3" t="s">
        <v>161</v>
      </c>
      <c r="D58" s="3" t="s">
        <v>162</v>
      </c>
      <c r="E58" s="3" t="s">
        <v>163</v>
      </c>
      <c r="F58" s="3" t="s">
        <v>38</v>
      </c>
      <c r="G58" s="3" t="s">
        <v>24</v>
      </c>
      <c r="H58" s="3" t="s">
        <v>58</v>
      </c>
      <c r="I58" s="3" t="s">
        <v>59</v>
      </c>
      <c r="J58" s="3" t="s">
        <v>32</v>
      </c>
      <c r="K58" s="3" t="s">
        <v>60</v>
      </c>
      <c r="L58" s="3" t="s">
        <v>40</v>
      </c>
      <c r="M58" s="3" t="s">
        <v>38</v>
      </c>
      <c r="N58" s="4" t="n">
        <v>24</v>
      </c>
      <c r="O58" s="5" t="n">
        <v>5.68</v>
      </c>
      <c r="P58" s="6" t="n">
        <v>0.05</v>
      </c>
      <c r="Q58" s="5" t="n">
        <f aca="false">N58*O58*(1-P58)</f>
        <v>129.504</v>
      </c>
      <c r="R58" s="5" t="n">
        <v>81.17</v>
      </c>
      <c r="S58" s="6" t="n">
        <f aca="false">IFERROR((Q58-R58)/Q58,0)</f>
        <v>0.373223993081295</v>
      </c>
    </row>
    <row r="59" customFormat="false" ht="15" hidden="false" customHeight="false" outlineLevel="0" collapsed="false">
      <c r="A59" s="2" t="n">
        <v>45351</v>
      </c>
      <c r="B59" s="3" t="s">
        <v>188</v>
      </c>
      <c r="C59" s="3" t="s">
        <v>161</v>
      </c>
      <c r="D59" s="3" t="s">
        <v>162</v>
      </c>
      <c r="E59" s="3" t="s">
        <v>163</v>
      </c>
      <c r="F59" s="3" t="s">
        <v>38</v>
      </c>
      <c r="G59" s="3" t="s">
        <v>24</v>
      </c>
      <c r="H59" s="3" t="s">
        <v>164</v>
      </c>
      <c r="I59" s="3" t="s">
        <v>165</v>
      </c>
      <c r="J59" s="3" t="s">
        <v>32</v>
      </c>
      <c r="K59" s="3" t="s">
        <v>60</v>
      </c>
      <c r="L59" s="3" t="s">
        <v>40</v>
      </c>
      <c r="M59" s="3" t="s">
        <v>38</v>
      </c>
      <c r="N59" s="4" t="n">
        <v>60</v>
      </c>
      <c r="O59" s="5" t="n">
        <v>14.36</v>
      </c>
      <c r="P59" s="6" t="n">
        <v>0</v>
      </c>
      <c r="Q59" s="5" t="n">
        <f aca="false">N59*O59*(1-P59)</f>
        <v>861.6</v>
      </c>
      <c r="R59" s="5" t="n">
        <v>522.22</v>
      </c>
      <c r="S59" s="6" t="n">
        <f aca="false">IFERROR((Q59-R59)/Q59,0)</f>
        <v>0.393895078922934</v>
      </c>
    </row>
    <row r="60" customFormat="false" ht="15" hidden="false" customHeight="false" outlineLevel="0" collapsed="false">
      <c r="A60" s="2" t="n">
        <v>45352</v>
      </c>
      <c r="B60" s="3" t="s">
        <v>191</v>
      </c>
      <c r="C60" s="3" t="s">
        <v>42</v>
      </c>
      <c r="D60" s="3" t="s">
        <v>43</v>
      </c>
      <c r="E60" s="3" t="s">
        <v>44</v>
      </c>
      <c r="F60" s="3" t="s">
        <v>45</v>
      </c>
      <c r="G60" s="3" t="s">
        <v>24</v>
      </c>
      <c r="H60" s="3" t="s">
        <v>164</v>
      </c>
      <c r="I60" s="3" t="s">
        <v>165</v>
      </c>
      <c r="J60" s="3" t="s">
        <v>32</v>
      </c>
      <c r="K60" s="3" t="s">
        <v>60</v>
      </c>
      <c r="L60" s="3" t="s">
        <v>50</v>
      </c>
      <c r="M60" s="3" t="s">
        <v>45</v>
      </c>
      <c r="N60" s="4" t="n">
        <v>60</v>
      </c>
      <c r="O60" s="5" t="n">
        <v>14.52</v>
      </c>
      <c r="P60" s="6" t="n">
        <v>0</v>
      </c>
      <c r="Q60" s="5" t="n">
        <f aca="false">N60*O60*(1-P60)</f>
        <v>871.2</v>
      </c>
      <c r="R60" s="5" t="n">
        <v>526.22</v>
      </c>
      <c r="S60" s="6" t="n">
        <f aca="false">IFERROR((Q60-R60)/Q60,0)</f>
        <v>0.395982552800735</v>
      </c>
    </row>
    <row r="61" customFormat="false" ht="15" hidden="false" customHeight="false" outlineLevel="0" collapsed="false">
      <c r="A61" s="2" t="n">
        <v>45352</v>
      </c>
      <c r="B61" s="3" t="s">
        <v>191</v>
      </c>
      <c r="C61" s="3" t="s">
        <v>42</v>
      </c>
      <c r="D61" s="3" t="s">
        <v>43</v>
      </c>
      <c r="E61" s="3" t="s">
        <v>44</v>
      </c>
      <c r="F61" s="3" t="s">
        <v>45</v>
      </c>
      <c r="G61" s="3" t="s">
        <v>24</v>
      </c>
      <c r="H61" s="3" t="s">
        <v>98</v>
      </c>
      <c r="I61" s="3" t="s">
        <v>99</v>
      </c>
      <c r="J61" s="3" t="s">
        <v>89</v>
      </c>
      <c r="K61" s="3" t="s">
        <v>100</v>
      </c>
      <c r="L61" s="3" t="s">
        <v>50</v>
      </c>
      <c r="M61" s="3" t="s">
        <v>45</v>
      </c>
      <c r="N61" s="4" t="n">
        <v>120</v>
      </c>
      <c r="O61" s="5" t="n">
        <v>21.87</v>
      </c>
      <c r="P61" s="6" t="n">
        <v>0.15</v>
      </c>
      <c r="Q61" s="5" t="n">
        <f aca="false">N61*O61*(1-P61)</f>
        <v>2230.74</v>
      </c>
      <c r="R61" s="5" t="n">
        <v>1656.12</v>
      </c>
      <c r="S61" s="6" t="n">
        <f aca="false">IFERROR((Q61-R61)/Q61,0)</f>
        <v>0.257591651200947</v>
      </c>
    </row>
    <row r="62" customFormat="false" ht="15" hidden="false" customHeight="false" outlineLevel="0" collapsed="false">
      <c r="A62" s="2" t="n">
        <v>45352</v>
      </c>
      <c r="B62" s="3" t="s">
        <v>192</v>
      </c>
      <c r="C62" s="3" t="s">
        <v>177</v>
      </c>
      <c r="D62" s="3" t="s">
        <v>178</v>
      </c>
      <c r="E62" s="3" t="s">
        <v>179</v>
      </c>
      <c r="F62" s="3" t="s">
        <v>180</v>
      </c>
      <c r="G62" s="3" t="s">
        <v>24</v>
      </c>
      <c r="H62" s="3" t="s">
        <v>73</v>
      </c>
      <c r="I62" s="3" t="s">
        <v>74</v>
      </c>
      <c r="J62" s="3" t="s">
        <v>48</v>
      </c>
      <c r="K62" s="3" t="s">
        <v>75</v>
      </c>
      <c r="L62" s="3" t="s">
        <v>181</v>
      </c>
      <c r="M62" s="3" t="s">
        <v>180</v>
      </c>
      <c r="N62" s="4" t="n">
        <v>24</v>
      </c>
      <c r="O62" s="5" t="n">
        <v>8.72</v>
      </c>
      <c r="P62" s="6" t="n">
        <v>0</v>
      </c>
      <c r="Q62" s="5" t="n">
        <f aca="false">N62*O62*(1-P62)</f>
        <v>209.28</v>
      </c>
      <c r="R62" s="5" t="n">
        <v>129.66</v>
      </c>
      <c r="S62" s="6" t="n">
        <f aca="false">IFERROR((Q62-R62)/Q62,0)</f>
        <v>0.380447247706422</v>
      </c>
    </row>
    <row r="63" customFormat="false" ht="15" hidden="false" customHeight="false" outlineLevel="0" collapsed="false">
      <c r="A63" s="2" t="n">
        <v>45352</v>
      </c>
      <c r="B63" s="3" t="s">
        <v>192</v>
      </c>
      <c r="C63" s="3" t="s">
        <v>177</v>
      </c>
      <c r="D63" s="3" t="s">
        <v>178</v>
      </c>
      <c r="E63" s="3" t="s">
        <v>179</v>
      </c>
      <c r="F63" s="3" t="s">
        <v>180</v>
      </c>
      <c r="G63" s="3" t="s">
        <v>24</v>
      </c>
      <c r="H63" s="3" t="s">
        <v>171</v>
      </c>
      <c r="I63" s="3" t="s">
        <v>172</v>
      </c>
      <c r="J63" s="3" t="s">
        <v>27</v>
      </c>
      <c r="K63" s="3" t="s">
        <v>140</v>
      </c>
      <c r="L63" s="3" t="s">
        <v>181</v>
      </c>
      <c r="M63" s="3" t="s">
        <v>180</v>
      </c>
      <c r="N63" s="4" t="n">
        <v>24</v>
      </c>
      <c r="O63" s="5" t="n">
        <v>4.25</v>
      </c>
      <c r="P63" s="6" t="n">
        <v>0.05</v>
      </c>
      <c r="Q63" s="5" t="n">
        <f aca="false">N63*O63*(1-P63)</f>
        <v>96.9</v>
      </c>
      <c r="R63" s="5" t="n">
        <v>59.25</v>
      </c>
      <c r="S63" s="6" t="n">
        <f aca="false">IFERROR((Q63-R63)/Q63,0)</f>
        <v>0.388544891640867</v>
      </c>
    </row>
    <row r="64" customFormat="false" ht="15" hidden="false" customHeight="false" outlineLevel="0" collapsed="false">
      <c r="A64" s="2" t="n">
        <v>45352</v>
      </c>
      <c r="B64" s="3" t="s">
        <v>193</v>
      </c>
      <c r="C64" s="3" t="s">
        <v>194</v>
      </c>
      <c r="D64" s="3" t="s">
        <v>195</v>
      </c>
      <c r="E64" s="3" t="s">
        <v>196</v>
      </c>
      <c r="F64" s="3" t="s">
        <v>38</v>
      </c>
      <c r="G64" s="3" t="s">
        <v>39</v>
      </c>
      <c r="H64" s="3" t="s">
        <v>171</v>
      </c>
      <c r="I64" s="3" t="s">
        <v>172</v>
      </c>
      <c r="J64" s="3" t="s">
        <v>27</v>
      </c>
      <c r="K64" s="3" t="s">
        <v>140</v>
      </c>
      <c r="L64" s="3" t="s">
        <v>40</v>
      </c>
      <c r="M64" s="3" t="s">
        <v>38</v>
      </c>
      <c r="N64" s="4" t="n">
        <v>48</v>
      </c>
      <c r="O64" s="5" t="n">
        <v>4.27</v>
      </c>
      <c r="P64" s="6" t="n">
        <v>0</v>
      </c>
      <c r="Q64" s="5" t="n">
        <f aca="false">N64*O64*(1-P64)</f>
        <v>204.96</v>
      </c>
      <c r="R64" s="5" t="n">
        <v>121.59</v>
      </c>
      <c r="S64" s="6" t="n">
        <f aca="false">IFERROR((Q64-R64)/Q64,0)</f>
        <v>0.406762295081967</v>
      </c>
    </row>
    <row r="65" customFormat="false" ht="15" hidden="false" customHeight="false" outlineLevel="0" collapsed="false">
      <c r="A65" s="2" t="n">
        <v>45353</v>
      </c>
      <c r="B65" s="3" t="s">
        <v>197</v>
      </c>
      <c r="C65" s="3" t="s">
        <v>177</v>
      </c>
      <c r="D65" s="3" t="s">
        <v>178</v>
      </c>
      <c r="E65" s="3" t="s">
        <v>179</v>
      </c>
      <c r="F65" s="3" t="s">
        <v>180</v>
      </c>
      <c r="G65" s="3" t="s">
        <v>24</v>
      </c>
      <c r="H65" s="3" t="s">
        <v>108</v>
      </c>
      <c r="I65" s="3" t="s">
        <v>109</v>
      </c>
      <c r="J65" s="3" t="s">
        <v>48</v>
      </c>
      <c r="K65" s="3" t="s">
        <v>110</v>
      </c>
      <c r="L65" s="3" t="s">
        <v>181</v>
      </c>
      <c r="M65" s="3" t="s">
        <v>180</v>
      </c>
      <c r="N65" s="4" t="n">
        <v>96</v>
      </c>
      <c r="O65" s="5" t="n">
        <v>7.39</v>
      </c>
      <c r="P65" s="6" t="n">
        <v>0</v>
      </c>
      <c r="Q65" s="5" t="n">
        <f aca="false">N65*O65*(1-P65)</f>
        <v>709.44</v>
      </c>
      <c r="R65" s="5" t="n">
        <v>412.9</v>
      </c>
      <c r="S65" s="6" t="n">
        <f aca="false">IFERROR((Q65-R65)/Q65,0)</f>
        <v>0.417991655390167</v>
      </c>
    </row>
    <row r="66" customFormat="false" ht="15" hidden="false" customHeight="false" outlineLevel="0" collapsed="false">
      <c r="A66" s="2" t="n">
        <v>45354</v>
      </c>
      <c r="B66" s="3" t="s">
        <v>198</v>
      </c>
      <c r="C66" s="3" t="s">
        <v>92</v>
      </c>
      <c r="D66" s="3" t="s">
        <v>93</v>
      </c>
      <c r="E66" s="3" t="s">
        <v>94</v>
      </c>
      <c r="F66" s="3" t="s">
        <v>45</v>
      </c>
      <c r="G66" s="3" t="s">
        <v>95</v>
      </c>
      <c r="H66" s="3" t="s">
        <v>81</v>
      </c>
      <c r="I66" s="3" t="s">
        <v>82</v>
      </c>
      <c r="J66" s="3" t="s">
        <v>32</v>
      </c>
      <c r="K66" s="3" t="s">
        <v>83</v>
      </c>
      <c r="L66" s="3" t="s">
        <v>50</v>
      </c>
      <c r="M66" s="3" t="s">
        <v>45</v>
      </c>
      <c r="N66" s="4" t="n">
        <v>24</v>
      </c>
      <c r="O66" s="5" t="n">
        <v>20.78</v>
      </c>
      <c r="P66" s="6" t="n">
        <v>0</v>
      </c>
      <c r="Q66" s="5" t="n">
        <f aca="false">N66*O66*(1-P66)</f>
        <v>498.72</v>
      </c>
      <c r="R66" s="5" t="n">
        <v>322.57</v>
      </c>
      <c r="S66" s="6" t="n">
        <f aca="false">IFERROR((Q66-R66)/Q66,0)</f>
        <v>0.353204202759063</v>
      </c>
    </row>
    <row r="67" customFormat="false" ht="15" hidden="false" customHeight="false" outlineLevel="0" collapsed="false">
      <c r="A67" s="2" t="n">
        <v>45354</v>
      </c>
      <c r="B67" s="3" t="s">
        <v>198</v>
      </c>
      <c r="C67" s="3" t="s">
        <v>92</v>
      </c>
      <c r="D67" s="3" t="s">
        <v>93</v>
      </c>
      <c r="E67" s="3" t="s">
        <v>94</v>
      </c>
      <c r="F67" s="3" t="s">
        <v>45</v>
      </c>
      <c r="G67" s="3" t="s">
        <v>95</v>
      </c>
      <c r="H67" s="3" t="s">
        <v>58</v>
      </c>
      <c r="I67" s="3" t="s">
        <v>59</v>
      </c>
      <c r="J67" s="3" t="s">
        <v>32</v>
      </c>
      <c r="K67" s="3" t="s">
        <v>60</v>
      </c>
      <c r="L67" s="3" t="s">
        <v>50</v>
      </c>
      <c r="M67" s="3" t="s">
        <v>45</v>
      </c>
      <c r="N67" s="4" t="n">
        <v>120</v>
      </c>
      <c r="O67" s="5" t="n">
        <v>5.94</v>
      </c>
      <c r="P67" s="6" t="n">
        <v>0.1</v>
      </c>
      <c r="Q67" s="5" t="n">
        <f aca="false">N67*O67*(1-P67)</f>
        <v>641.52</v>
      </c>
      <c r="R67" s="5" t="n">
        <v>403.33</v>
      </c>
      <c r="S67" s="6" t="n">
        <f aca="false">IFERROR((Q67-R67)/Q67,0)</f>
        <v>0.371290061104876</v>
      </c>
    </row>
    <row r="68" customFormat="false" ht="15" hidden="false" customHeight="false" outlineLevel="0" collapsed="false">
      <c r="A68" s="2" t="n">
        <v>45354</v>
      </c>
      <c r="B68" s="3" t="s">
        <v>198</v>
      </c>
      <c r="C68" s="3" t="s">
        <v>92</v>
      </c>
      <c r="D68" s="3" t="s">
        <v>93</v>
      </c>
      <c r="E68" s="3" t="s">
        <v>94</v>
      </c>
      <c r="F68" s="3" t="s">
        <v>45</v>
      </c>
      <c r="G68" s="3" t="s">
        <v>95</v>
      </c>
      <c r="H68" s="3" t="s">
        <v>51</v>
      </c>
      <c r="I68" s="3" t="s">
        <v>52</v>
      </c>
      <c r="J68" s="3" t="s">
        <v>27</v>
      </c>
      <c r="K68" s="3" t="s">
        <v>53</v>
      </c>
      <c r="L68" s="3" t="s">
        <v>50</v>
      </c>
      <c r="M68" s="3" t="s">
        <v>45</v>
      </c>
      <c r="N68" s="4" t="n">
        <v>60</v>
      </c>
      <c r="O68" s="5" t="n">
        <v>24.06</v>
      </c>
      <c r="P68" s="6" t="n">
        <v>0</v>
      </c>
      <c r="Q68" s="5" t="n">
        <f aca="false">N68*O68*(1-P68)</f>
        <v>1443.6</v>
      </c>
      <c r="R68" s="5" t="n">
        <v>827.81</v>
      </c>
      <c r="S68" s="6" t="n">
        <f aca="false">IFERROR((Q68-R68)/Q68,0)</f>
        <v>0.4265655306179</v>
      </c>
    </row>
    <row r="69" customFormat="false" ht="15" hidden="false" customHeight="false" outlineLevel="0" collapsed="false">
      <c r="A69" s="2" t="n">
        <v>45354</v>
      </c>
      <c r="B69" s="3" t="s">
        <v>198</v>
      </c>
      <c r="C69" s="3" t="s">
        <v>92</v>
      </c>
      <c r="D69" s="3" t="s">
        <v>93</v>
      </c>
      <c r="E69" s="3" t="s">
        <v>94</v>
      </c>
      <c r="F69" s="3" t="s">
        <v>45</v>
      </c>
      <c r="G69" s="3" t="s">
        <v>95</v>
      </c>
      <c r="H69" s="3" t="s">
        <v>108</v>
      </c>
      <c r="I69" s="3" t="s">
        <v>109</v>
      </c>
      <c r="J69" s="3" t="s">
        <v>48</v>
      </c>
      <c r="K69" s="3" t="s">
        <v>110</v>
      </c>
      <c r="L69" s="3" t="s">
        <v>50</v>
      </c>
      <c r="M69" s="3" t="s">
        <v>45</v>
      </c>
      <c r="N69" s="4" t="n">
        <v>48</v>
      </c>
      <c r="O69" s="5" t="n">
        <v>6.9</v>
      </c>
      <c r="P69" s="6" t="n">
        <v>0.15</v>
      </c>
      <c r="Q69" s="5" t="n">
        <f aca="false">N69*O69*(1-P69)</f>
        <v>281.52</v>
      </c>
      <c r="R69" s="5" t="n">
        <v>204.14</v>
      </c>
      <c r="S69" s="6" t="n">
        <f aca="false">IFERROR((Q69-R69)/Q69,0)</f>
        <v>0.274865018471157</v>
      </c>
    </row>
    <row r="70" customFormat="false" ht="15" hidden="false" customHeight="false" outlineLevel="0" collapsed="false">
      <c r="A70" s="2" t="n">
        <v>45358</v>
      </c>
      <c r="B70" s="3" t="s">
        <v>199</v>
      </c>
      <c r="C70" s="3" t="s">
        <v>167</v>
      </c>
      <c r="D70" s="3" t="s">
        <v>168</v>
      </c>
      <c r="E70" s="3" t="s">
        <v>169</v>
      </c>
      <c r="F70" s="3" t="s">
        <v>170</v>
      </c>
      <c r="G70" s="3" t="s">
        <v>39</v>
      </c>
      <c r="H70" s="3" t="s">
        <v>84</v>
      </c>
      <c r="I70" s="3" t="s">
        <v>85</v>
      </c>
      <c r="J70" s="3" t="s">
        <v>56</v>
      </c>
      <c r="K70" s="3" t="s">
        <v>86</v>
      </c>
      <c r="L70" s="3" t="s">
        <v>106</v>
      </c>
      <c r="M70" s="3" t="s">
        <v>107</v>
      </c>
      <c r="N70" s="4" t="n">
        <v>96</v>
      </c>
      <c r="O70" s="5" t="n">
        <v>4.79</v>
      </c>
      <c r="P70" s="6" t="n">
        <v>0.15</v>
      </c>
      <c r="Q70" s="5" t="n">
        <f aca="false">N70*O70*(1-P70)</f>
        <v>390.864</v>
      </c>
      <c r="R70" s="5" t="n">
        <v>294.02</v>
      </c>
      <c r="S70" s="6" t="n">
        <f aca="false">IFERROR((Q70-R70)/Q70,0)</f>
        <v>0.247769044987515</v>
      </c>
    </row>
    <row r="71" customFormat="false" ht="15" hidden="false" customHeight="false" outlineLevel="0" collapsed="false">
      <c r="A71" s="2" t="n">
        <v>45358</v>
      </c>
      <c r="B71" s="3" t="s">
        <v>199</v>
      </c>
      <c r="C71" s="3" t="s">
        <v>167</v>
      </c>
      <c r="D71" s="3" t="s">
        <v>168</v>
      </c>
      <c r="E71" s="3" t="s">
        <v>169</v>
      </c>
      <c r="F71" s="3" t="s">
        <v>170</v>
      </c>
      <c r="G71" s="3" t="s">
        <v>39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106</v>
      </c>
      <c r="M71" s="3" t="s">
        <v>107</v>
      </c>
      <c r="N71" s="4" t="n">
        <v>6</v>
      </c>
      <c r="O71" s="5" t="n">
        <v>26.04</v>
      </c>
      <c r="P71" s="6" t="n">
        <v>0.15</v>
      </c>
      <c r="Q71" s="5" t="n">
        <f aca="false">N71*O71*(1-P71)</f>
        <v>132.804</v>
      </c>
      <c r="R71" s="5" t="n">
        <v>88.89</v>
      </c>
      <c r="S71" s="6" t="n">
        <f aca="false">IFERROR((Q71-R71)/Q71,0)</f>
        <v>0.330667750971356</v>
      </c>
    </row>
    <row r="72" customFormat="false" ht="15" hidden="false" customHeight="false" outlineLevel="0" collapsed="false">
      <c r="A72" s="2" t="n">
        <v>45358</v>
      </c>
      <c r="B72" s="3" t="s">
        <v>199</v>
      </c>
      <c r="C72" s="3" t="s">
        <v>167</v>
      </c>
      <c r="D72" s="3" t="s">
        <v>168</v>
      </c>
      <c r="E72" s="3" t="s">
        <v>169</v>
      </c>
      <c r="F72" s="3" t="s">
        <v>170</v>
      </c>
      <c r="G72" s="3" t="s">
        <v>39</v>
      </c>
      <c r="H72" s="3" t="s">
        <v>58</v>
      </c>
      <c r="I72" s="3" t="s">
        <v>59</v>
      </c>
      <c r="J72" s="3" t="s">
        <v>32</v>
      </c>
      <c r="K72" s="3" t="s">
        <v>60</v>
      </c>
      <c r="L72" s="3" t="s">
        <v>106</v>
      </c>
      <c r="M72" s="3" t="s">
        <v>107</v>
      </c>
      <c r="N72" s="4" t="n">
        <v>48</v>
      </c>
      <c r="O72" s="5" t="n">
        <v>5.55</v>
      </c>
      <c r="P72" s="6" t="n">
        <v>0.05</v>
      </c>
      <c r="Q72" s="5" t="n">
        <f aca="false">N72*O72*(1-P72)</f>
        <v>253.08</v>
      </c>
      <c r="R72" s="5" t="n">
        <v>161.97</v>
      </c>
      <c r="S72" s="6" t="n">
        <f aca="false">IFERROR((Q72-R72)/Q72,0)</f>
        <v>0.360004741583689</v>
      </c>
    </row>
    <row r="73" customFormat="false" ht="15" hidden="false" customHeight="false" outlineLevel="0" collapsed="false">
      <c r="A73" s="2" t="n">
        <v>45358</v>
      </c>
      <c r="B73" s="3" t="s">
        <v>199</v>
      </c>
      <c r="C73" s="3" t="s">
        <v>167</v>
      </c>
      <c r="D73" s="3" t="s">
        <v>168</v>
      </c>
      <c r="E73" s="3" t="s">
        <v>169</v>
      </c>
      <c r="F73" s="3" t="s">
        <v>170</v>
      </c>
      <c r="G73" s="3" t="s">
        <v>39</v>
      </c>
      <c r="H73" s="3" t="s">
        <v>164</v>
      </c>
      <c r="I73" s="3" t="s">
        <v>165</v>
      </c>
      <c r="J73" s="3" t="s">
        <v>32</v>
      </c>
      <c r="K73" s="3" t="s">
        <v>60</v>
      </c>
      <c r="L73" s="3" t="s">
        <v>106</v>
      </c>
      <c r="M73" s="3" t="s">
        <v>107</v>
      </c>
      <c r="N73" s="4" t="n">
        <v>60</v>
      </c>
      <c r="O73" s="5" t="n">
        <v>13.73</v>
      </c>
      <c r="P73" s="6" t="n">
        <v>0</v>
      </c>
      <c r="Q73" s="5" t="n">
        <f aca="false">N73*O73*(1-P73)</f>
        <v>823.8</v>
      </c>
      <c r="R73" s="5" t="n">
        <v>523.74</v>
      </c>
      <c r="S73" s="6" t="n">
        <f aca="false">IFERROR((Q73-R73)/Q73,0)</f>
        <v>0.364238892935178</v>
      </c>
    </row>
    <row r="74" customFormat="false" ht="15" hidden="false" customHeight="false" outlineLevel="0" collapsed="false">
      <c r="A74" s="2" t="n">
        <v>45359</v>
      </c>
      <c r="B74" s="3" t="s">
        <v>200</v>
      </c>
      <c r="C74" s="3" t="s">
        <v>201</v>
      </c>
      <c r="D74" s="3" t="s">
        <v>202</v>
      </c>
      <c r="E74" s="3" t="s">
        <v>203</v>
      </c>
      <c r="F74" s="3" t="s">
        <v>170</v>
      </c>
      <c r="G74" s="3" t="s">
        <v>24</v>
      </c>
      <c r="H74" s="3" t="s">
        <v>173</v>
      </c>
      <c r="I74" s="3" t="s">
        <v>174</v>
      </c>
      <c r="J74" s="3" t="s">
        <v>27</v>
      </c>
      <c r="K74" s="3" t="s">
        <v>175</v>
      </c>
      <c r="L74" s="3" t="s">
        <v>106</v>
      </c>
      <c r="M74" s="3" t="s">
        <v>107</v>
      </c>
      <c r="N74" s="4" t="n">
        <v>72</v>
      </c>
      <c r="O74" s="5" t="n">
        <v>17.93</v>
      </c>
      <c r="P74" s="6" t="n">
        <v>0</v>
      </c>
      <c r="Q74" s="5" t="n">
        <f aca="false">N74*O74*(1-P74)</f>
        <v>1290.96</v>
      </c>
      <c r="R74" s="5" t="n">
        <v>800.32</v>
      </c>
      <c r="S74" s="6" t="n">
        <f aca="false">IFERROR((Q74-R74)/Q74,0)</f>
        <v>0.380058251223895</v>
      </c>
    </row>
    <row r="75" customFormat="false" ht="15" hidden="false" customHeight="false" outlineLevel="0" collapsed="false">
      <c r="A75" s="2" t="n">
        <v>45359</v>
      </c>
      <c r="B75" s="3" t="s">
        <v>200</v>
      </c>
      <c r="C75" s="3" t="s">
        <v>201</v>
      </c>
      <c r="D75" s="3" t="s">
        <v>202</v>
      </c>
      <c r="E75" s="3" t="s">
        <v>203</v>
      </c>
      <c r="F75" s="3" t="s">
        <v>170</v>
      </c>
      <c r="G75" s="3" t="s">
        <v>24</v>
      </c>
      <c r="H75" s="3" t="s">
        <v>51</v>
      </c>
      <c r="I75" s="3" t="s">
        <v>52</v>
      </c>
      <c r="J75" s="3" t="s">
        <v>27</v>
      </c>
      <c r="K75" s="3" t="s">
        <v>53</v>
      </c>
      <c r="L75" s="3" t="s">
        <v>106</v>
      </c>
      <c r="M75" s="3" t="s">
        <v>107</v>
      </c>
      <c r="N75" s="4" t="n">
        <v>12</v>
      </c>
      <c r="O75" s="5" t="n">
        <v>20.76</v>
      </c>
      <c r="P75" s="6" t="n">
        <v>0</v>
      </c>
      <c r="Q75" s="5" t="n">
        <f aca="false">N75*O75*(1-P75)</f>
        <v>249.12</v>
      </c>
      <c r="R75" s="5" t="n">
        <v>164.73</v>
      </c>
      <c r="S75" s="6" t="n">
        <f aca="false">IFERROR((Q75-R75)/Q75,0)</f>
        <v>0.338752408477842</v>
      </c>
    </row>
    <row r="76" customFormat="false" ht="15" hidden="false" customHeight="false" outlineLevel="0" collapsed="false">
      <c r="A76" s="2" t="n">
        <v>45359</v>
      </c>
      <c r="B76" s="3" t="s">
        <v>200</v>
      </c>
      <c r="C76" s="3" t="s">
        <v>201</v>
      </c>
      <c r="D76" s="3" t="s">
        <v>202</v>
      </c>
      <c r="E76" s="3" t="s">
        <v>203</v>
      </c>
      <c r="F76" s="3" t="s">
        <v>170</v>
      </c>
      <c r="G76" s="3" t="s">
        <v>24</v>
      </c>
      <c r="H76" s="3" t="s">
        <v>119</v>
      </c>
      <c r="I76" s="3" t="s">
        <v>120</v>
      </c>
      <c r="J76" s="3" t="s">
        <v>89</v>
      </c>
      <c r="K76" s="3" t="s">
        <v>121</v>
      </c>
      <c r="L76" s="3" t="s">
        <v>106</v>
      </c>
      <c r="M76" s="3" t="s">
        <v>107</v>
      </c>
      <c r="N76" s="4" t="n">
        <v>6</v>
      </c>
      <c r="O76" s="5" t="n">
        <v>12</v>
      </c>
      <c r="P76" s="6" t="n">
        <v>0.05</v>
      </c>
      <c r="Q76" s="5" t="n">
        <f aca="false">N76*O76*(1-P76)</f>
        <v>68.4</v>
      </c>
      <c r="R76" s="5" t="n">
        <v>40.81</v>
      </c>
      <c r="S76" s="6" t="n">
        <f aca="false">IFERROR((Q76-R76)/Q76,0)</f>
        <v>0.403362573099415</v>
      </c>
    </row>
    <row r="77" customFormat="false" ht="15" hidden="false" customHeight="false" outlineLevel="0" collapsed="false">
      <c r="A77" s="2" t="n">
        <v>45359</v>
      </c>
      <c r="B77" s="3" t="s">
        <v>200</v>
      </c>
      <c r="C77" s="3" t="s">
        <v>201</v>
      </c>
      <c r="D77" s="3" t="s">
        <v>202</v>
      </c>
      <c r="E77" s="3" t="s">
        <v>203</v>
      </c>
      <c r="F77" s="3" t="s">
        <v>170</v>
      </c>
      <c r="G77" s="3" t="s">
        <v>24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106</v>
      </c>
      <c r="M77" s="3" t="s">
        <v>107</v>
      </c>
      <c r="N77" s="4" t="n">
        <v>96</v>
      </c>
      <c r="O77" s="5" t="n">
        <v>24.2</v>
      </c>
      <c r="P77" s="6" t="n">
        <v>0.05</v>
      </c>
      <c r="Q77" s="5" t="n">
        <f aca="false">N77*O77*(1-P77)</f>
        <v>2207.04</v>
      </c>
      <c r="R77" s="5" t="n">
        <v>1415.95</v>
      </c>
      <c r="S77" s="6" t="n">
        <f aca="false">IFERROR((Q77-R77)/Q77,0)</f>
        <v>0.35843935769175</v>
      </c>
    </row>
    <row r="78" customFormat="false" ht="15" hidden="false" customHeight="false" outlineLevel="0" collapsed="false">
      <c r="A78" s="2" t="n">
        <v>45362</v>
      </c>
      <c r="B78" s="3" t="s">
        <v>204</v>
      </c>
      <c r="C78" s="3" t="s">
        <v>167</v>
      </c>
      <c r="D78" s="3" t="s">
        <v>168</v>
      </c>
      <c r="E78" s="3" t="s">
        <v>169</v>
      </c>
      <c r="F78" s="3" t="s">
        <v>170</v>
      </c>
      <c r="G78" s="3" t="s">
        <v>39</v>
      </c>
      <c r="H78" s="3" t="s">
        <v>138</v>
      </c>
      <c r="I78" s="3" t="s">
        <v>139</v>
      </c>
      <c r="J78" s="3" t="s">
        <v>27</v>
      </c>
      <c r="K78" s="3" t="s">
        <v>140</v>
      </c>
      <c r="L78" s="3" t="s">
        <v>106</v>
      </c>
      <c r="M78" s="3" t="s">
        <v>107</v>
      </c>
      <c r="N78" s="4" t="n">
        <v>24</v>
      </c>
      <c r="O78" s="5" t="n">
        <v>3.5</v>
      </c>
      <c r="P78" s="6" t="n">
        <v>0.15</v>
      </c>
      <c r="Q78" s="5" t="n">
        <f aca="false">N78*O78*(1-P78)</f>
        <v>71.4</v>
      </c>
      <c r="R78" s="5" t="n">
        <v>55.1</v>
      </c>
      <c r="S78" s="6" t="n">
        <f aca="false">IFERROR((Q78-R78)/Q78,0)</f>
        <v>0.228291316526611</v>
      </c>
    </row>
    <row r="79" customFormat="false" ht="15" hidden="false" customHeight="false" outlineLevel="0" collapsed="false">
      <c r="A79" s="2" t="n">
        <v>45362</v>
      </c>
      <c r="B79" s="3" t="s">
        <v>204</v>
      </c>
      <c r="C79" s="3" t="s">
        <v>167</v>
      </c>
      <c r="D79" s="3" t="s">
        <v>168</v>
      </c>
      <c r="E79" s="3" t="s">
        <v>169</v>
      </c>
      <c r="F79" s="3" t="s">
        <v>170</v>
      </c>
      <c r="G79" s="3" t="s">
        <v>39</v>
      </c>
      <c r="H79" s="3" t="s">
        <v>25</v>
      </c>
      <c r="I79" s="3" t="s">
        <v>26</v>
      </c>
      <c r="J79" s="3" t="s">
        <v>27</v>
      </c>
      <c r="K79" s="3" t="s">
        <v>28</v>
      </c>
      <c r="L79" s="3" t="s">
        <v>106</v>
      </c>
      <c r="M79" s="3" t="s">
        <v>107</v>
      </c>
      <c r="N79" s="4" t="n">
        <v>120</v>
      </c>
      <c r="O79" s="5" t="n">
        <v>6.97</v>
      </c>
      <c r="P79" s="6" t="n">
        <v>0</v>
      </c>
      <c r="Q79" s="5" t="n">
        <f aca="false">N79*O79*(1-P79)</f>
        <v>836.4</v>
      </c>
      <c r="R79" s="5" t="n">
        <v>482.29</v>
      </c>
      <c r="S79" s="6" t="n">
        <f aca="false">IFERROR((Q79-R79)/Q79,0)</f>
        <v>0.423373983739837</v>
      </c>
    </row>
    <row r="80" customFormat="false" ht="15" hidden="false" customHeight="false" outlineLevel="0" collapsed="false">
      <c r="A80" s="2" t="n">
        <v>45363</v>
      </c>
      <c r="B80" s="3" t="s">
        <v>205</v>
      </c>
      <c r="C80" s="3" t="s">
        <v>77</v>
      </c>
      <c r="D80" s="3" t="s">
        <v>78</v>
      </c>
      <c r="E80" s="3" t="s">
        <v>79</v>
      </c>
      <c r="F80" s="3" t="s">
        <v>45</v>
      </c>
      <c r="G80" s="3" t="s">
        <v>80</v>
      </c>
      <c r="H80" s="3" t="s">
        <v>126</v>
      </c>
      <c r="I80" s="3" t="s">
        <v>127</v>
      </c>
      <c r="J80" s="3" t="s">
        <v>67</v>
      </c>
      <c r="K80" s="3" t="s">
        <v>128</v>
      </c>
      <c r="L80" s="3" t="s">
        <v>50</v>
      </c>
      <c r="M80" s="3" t="s">
        <v>45</v>
      </c>
      <c r="N80" s="4" t="n">
        <v>24</v>
      </c>
      <c r="O80" s="5" t="n">
        <v>6.72</v>
      </c>
      <c r="P80" s="6" t="n">
        <v>0.05</v>
      </c>
      <c r="Q80" s="5" t="n">
        <f aca="false">N80*O80*(1-P80)</f>
        <v>153.216</v>
      </c>
      <c r="R80" s="5" t="n">
        <v>89.65</v>
      </c>
      <c r="S80" s="6" t="n">
        <f aca="false">IFERROR((Q80-R80)/Q80,0)</f>
        <v>0.414878341687552</v>
      </c>
    </row>
    <row r="81" customFormat="false" ht="15" hidden="false" customHeight="false" outlineLevel="0" collapsed="false">
      <c r="A81" s="2" t="n">
        <v>45363</v>
      </c>
      <c r="B81" s="3" t="s">
        <v>205</v>
      </c>
      <c r="C81" s="3" t="s">
        <v>77</v>
      </c>
      <c r="D81" s="3" t="s">
        <v>78</v>
      </c>
      <c r="E81" s="3" t="s">
        <v>79</v>
      </c>
      <c r="F81" s="3" t="s">
        <v>45</v>
      </c>
      <c r="G81" s="3" t="s">
        <v>80</v>
      </c>
      <c r="H81" s="3" t="s">
        <v>65</v>
      </c>
      <c r="I81" s="3" t="s">
        <v>66</v>
      </c>
      <c r="J81" s="3" t="s">
        <v>67</v>
      </c>
      <c r="K81" s="3" t="s">
        <v>68</v>
      </c>
      <c r="L81" s="3" t="s">
        <v>50</v>
      </c>
      <c r="M81" s="3" t="s">
        <v>45</v>
      </c>
      <c r="N81" s="4" t="n">
        <v>120</v>
      </c>
      <c r="O81" s="5" t="n">
        <v>28.88</v>
      </c>
      <c r="P81" s="6" t="n">
        <v>0.15</v>
      </c>
      <c r="Q81" s="5" t="n">
        <f aca="false">N81*O81*(1-P81)</f>
        <v>2945.76</v>
      </c>
      <c r="R81" s="5" t="n">
        <v>2064.55</v>
      </c>
      <c r="S81" s="6" t="n">
        <f aca="false">IFERROR((Q81-R81)/Q81,0)</f>
        <v>0.299145212101461</v>
      </c>
    </row>
    <row r="82" customFormat="false" ht="15" hidden="false" customHeight="false" outlineLevel="0" collapsed="false">
      <c r="A82" s="2" t="n">
        <v>45363</v>
      </c>
      <c r="B82" s="3" t="s">
        <v>205</v>
      </c>
      <c r="C82" s="3" t="s">
        <v>77</v>
      </c>
      <c r="D82" s="3" t="s">
        <v>78</v>
      </c>
      <c r="E82" s="3" t="s">
        <v>79</v>
      </c>
      <c r="F82" s="3" t="s">
        <v>45</v>
      </c>
      <c r="G82" s="3" t="s">
        <v>80</v>
      </c>
      <c r="H82" s="3" t="s">
        <v>132</v>
      </c>
      <c r="I82" s="3" t="s">
        <v>133</v>
      </c>
      <c r="J82" s="3" t="s">
        <v>27</v>
      </c>
      <c r="K82" s="3" t="s">
        <v>28</v>
      </c>
      <c r="L82" s="3" t="s">
        <v>50</v>
      </c>
      <c r="M82" s="3" t="s">
        <v>45</v>
      </c>
      <c r="N82" s="4" t="n">
        <v>96</v>
      </c>
      <c r="O82" s="5" t="n">
        <v>13.59</v>
      </c>
      <c r="P82" s="6" t="n">
        <v>0.05</v>
      </c>
      <c r="Q82" s="5" t="n">
        <f aca="false">N82*O82*(1-P82)</f>
        <v>1239.408</v>
      </c>
      <c r="R82" s="5" t="n">
        <v>793.55</v>
      </c>
      <c r="S82" s="6" t="n">
        <f aca="false">IFERROR((Q82-R82)/Q82,0)</f>
        <v>0.359734647509133</v>
      </c>
    </row>
    <row r="83" customFormat="false" ht="15" hidden="false" customHeight="false" outlineLevel="0" collapsed="false">
      <c r="A83" s="2" t="n">
        <v>45375</v>
      </c>
      <c r="B83" s="3" t="s">
        <v>206</v>
      </c>
      <c r="C83" s="3" t="s">
        <v>102</v>
      </c>
      <c r="D83" s="3" t="s">
        <v>103</v>
      </c>
      <c r="E83" s="3" t="s">
        <v>104</v>
      </c>
      <c r="F83" s="3" t="s">
        <v>105</v>
      </c>
      <c r="G83" s="3" t="s">
        <v>24</v>
      </c>
      <c r="H83" s="3" t="s">
        <v>129</v>
      </c>
      <c r="I83" s="3" t="s">
        <v>130</v>
      </c>
      <c r="J83" s="3" t="s">
        <v>67</v>
      </c>
      <c r="K83" s="3" t="s">
        <v>131</v>
      </c>
      <c r="L83" s="3" t="s">
        <v>106</v>
      </c>
      <c r="M83" s="3" t="s">
        <v>107</v>
      </c>
      <c r="N83" s="4" t="n">
        <v>12</v>
      </c>
      <c r="O83" s="5" t="n">
        <v>11.1</v>
      </c>
      <c r="P83" s="6" t="n">
        <v>0.05</v>
      </c>
      <c r="Q83" s="5" t="n">
        <f aca="false">N83*O83*(1-P83)</f>
        <v>126.54</v>
      </c>
      <c r="R83" s="5" t="n">
        <v>82.49</v>
      </c>
      <c r="S83" s="6" t="n">
        <f aca="false">IFERROR((Q83-R83)/Q83,0)</f>
        <v>0.348111269163901</v>
      </c>
    </row>
    <row r="84" customFormat="false" ht="15" hidden="false" customHeight="false" outlineLevel="0" collapsed="false">
      <c r="A84" s="2" t="n">
        <v>45375</v>
      </c>
      <c r="B84" s="3" t="s">
        <v>206</v>
      </c>
      <c r="C84" s="3" t="s">
        <v>102</v>
      </c>
      <c r="D84" s="3" t="s">
        <v>103</v>
      </c>
      <c r="E84" s="3" t="s">
        <v>104</v>
      </c>
      <c r="F84" s="3" t="s">
        <v>105</v>
      </c>
      <c r="G84" s="3" t="s">
        <v>24</v>
      </c>
      <c r="H84" s="3" t="s">
        <v>51</v>
      </c>
      <c r="I84" s="3" t="s">
        <v>52</v>
      </c>
      <c r="J84" s="3" t="s">
        <v>27</v>
      </c>
      <c r="K84" s="3" t="s">
        <v>53</v>
      </c>
      <c r="L84" s="3" t="s">
        <v>106</v>
      </c>
      <c r="M84" s="3" t="s">
        <v>107</v>
      </c>
      <c r="N84" s="4" t="n">
        <v>48</v>
      </c>
      <c r="O84" s="5" t="n">
        <v>23.79</v>
      </c>
      <c r="P84" s="6" t="n">
        <v>0</v>
      </c>
      <c r="Q84" s="5" t="n">
        <f aca="false">N84*O84*(1-P84)</f>
        <v>1141.92</v>
      </c>
      <c r="R84" s="5" t="n">
        <v>676.78</v>
      </c>
      <c r="S84" s="6" t="n">
        <f aca="false">IFERROR((Q84-R84)/Q84,0)</f>
        <v>0.407331511839709</v>
      </c>
    </row>
    <row r="85" customFormat="false" ht="15" hidden="false" customHeight="false" outlineLevel="0" collapsed="false">
      <c r="A85" s="2" t="n">
        <v>45375</v>
      </c>
      <c r="B85" s="3" t="s">
        <v>206</v>
      </c>
      <c r="C85" s="3" t="s">
        <v>102</v>
      </c>
      <c r="D85" s="3" t="s">
        <v>103</v>
      </c>
      <c r="E85" s="3" t="s">
        <v>104</v>
      </c>
      <c r="F85" s="3" t="s">
        <v>105</v>
      </c>
      <c r="G85" s="3" t="s">
        <v>24</v>
      </c>
      <c r="H85" s="3" t="s">
        <v>25</v>
      </c>
      <c r="I85" s="3" t="s">
        <v>26</v>
      </c>
      <c r="J85" s="3" t="s">
        <v>27</v>
      </c>
      <c r="K85" s="3" t="s">
        <v>28</v>
      </c>
      <c r="L85" s="3" t="s">
        <v>106</v>
      </c>
      <c r="M85" s="3" t="s">
        <v>107</v>
      </c>
      <c r="N85" s="4" t="n">
        <v>96</v>
      </c>
      <c r="O85" s="5" t="n">
        <v>6.81</v>
      </c>
      <c r="P85" s="6" t="n">
        <v>0</v>
      </c>
      <c r="Q85" s="5" t="n">
        <f aca="false">N85*O85*(1-P85)</f>
        <v>653.76</v>
      </c>
      <c r="R85" s="5" t="n">
        <v>393.19</v>
      </c>
      <c r="S85" s="6" t="n">
        <f aca="false">IFERROR((Q85-R85)/Q85,0)</f>
        <v>0.398571341164954</v>
      </c>
    </row>
    <row r="86" customFormat="false" ht="15" hidden="false" customHeight="false" outlineLevel="0" collapsed="false">
      <c r="A86" s="2" t="n">
        <v>45376</v>
      </c>
      <c r="B86" s="3" t="s">
        <v>207</v>
      </c>
      <c r="C86" s="3" t="s">
        <v>70</v>
      </c>
      <c r="D86" s="3" t="s">
        <v>71</v>
      </c>
      <c r="E86" s="3" t="s">
        <v>72</v>
      </c>
      <c r="F86" s="3" t="s">
        <v>45</v>
      </c>
      <c r="G86" s="3" t="s">
        <v>39</v>
      </c>
      <c r="H86" s="3" t="s">
        <v>141</v>
      </c>
      <c r="I86" s="3" t="s">
        <v>142</v>
      </c>
      <c r="J86" s="3" t="s">
        <v>89</v>
      </c>
      <c r="K86" s="3" t="s">
        <v>100</v>
      </c>
      <c r="L86" s="3" t="s">
        <v>50</v>
      </c>
      <c r="M86" s="3" t="s">
        <v>45</v>
      </c>
      <c r="N86" s="4" t="n">
        <v>96</v>
      </c>
      <c r="O86" s="5" t="n">
        <v>21.27</v>
      </c>
      <c r="P86" s="6" t="n">
        <v>0.15</v>
      </c>
      <c r="Q86" s="5" t="n">
        <f aca="false">N86*O86*(1-P86)</f>
        <v>1735.632</v>
      </c>
      <c r="R86" s="5" t="n">
        <v>1183.16</v>
      </c>
      <c r="S86" s="6" t="n">
        <f aca="false">IFERROR((Q86-R86)/Q86,0)</f>
        <v>0.318311715847599</v>
      </c>
    </row>
    <row r="87" customFormat="false" ht="15" hidden="false" customHeight="false" outlineLevel="0" collapsed="false">
      <c r="A87" s="2" t="n">
        <v>45376</v>
      </c>
      <c r="B87" s="3" t="s">
        <v>207</v>
      </c>
      <c r="C87" s="3" t="s">
        <v>70</v>
      </c>
      <c r="D87" s="3" t="s">
        <v>71</v>
      </c>
      <c r="E87" s="3" t="s">
        <v>72</v>
      </c>
      <c r="F87" s="3" t="s">
        <v>45</v>
      </c>
      <c r="G87" s="3" t="s">
        <v>39</v>
      </c>
      <c r="H87" s="3" t="s">
        <v>173</v>
      </c>
      <c r="I87" s="3" t="s">
        <v>174</v>
      </c>
      <c r="J87" s="3" t="s">
        <v>27</v>
      </c>
      <c r="K87" s="3" t="s">
        <v>175</v>
      </c>
      <c r="L87" s="3" t="s">
        <v>50</v>
      </c>
      <c r="M87" s="3" t="s">
        <v>45</v>
      </c>
      <c r="N87" s="4" t="n">
        <v>60</v>
      </c>
      <c r="O87" s="5" t="n">
        <v>17.51</v>
      </c>
      <c r="P87" s="6" t="n">
        <v>0.05</v>
      </c>
      <c r="Q87" s="5" t="n">
        <f aca="false">N87*O87*(1-P87)</f>
        <v>998.07</v>
      </c>
      <c r="R87" s="5" t="n">
        <v>658.37</v>
      </c>
      <c r="S87" s="6" t="n">
        <f aca="false">IFERROR((Q87-R87)/Q87,0)</f>
        <v>0.340356888795375</v>
      </c>
    </row>
    <row r="88" customFormat="false" ht="15" hidden="false" customHeight="false" outlineLevel="0" collapsed="false">
      <c r="A88" s="2" t="n">
        <v>45376</v>
      </c>
      <c r="B88" s="3" t="s">
        <v>207</v>
      </c>
      <c r="C88" s="3" t="s">
        <v>70</v>
      </c>
      <c r="D88" s="3" t="s">
        <v>71</v>
      </c>
      <c r="E88" s="3" t="s">
        <v>72</v>
      </c>
      <c r="F88" s="3" t="s">
        <v>45</v>
      </c>
      <c r="G88" s="3" t="s">
        <v>39</v>
      </c>
      <c r="H88" s="3" t="s">
        <v>54</v>
      </c>
      <c r="I88" s="3" t="s">
        <v>55</v>
      </c>
      <c r="J88" s="3" t="s">
        <v>56</v>
      </c>
      <c r="K88" s="3" t="s">
        <v>57</v>
      </c>
      <c r="L88" s="3" t="s">
        <v>50</v>
      </c>
      <c r="M88" s="3" t="s">
        <v>45</v>
      </c>
      <c r="N88" s="4" t="n">
        <v>12</v>
      </c>
      <c r="O88" s="5" t="n">
        <v>4.61</v>
      </c>
      <c r="P88" s="6" t="n">
        <v>0</v>
      </c>
      <c r="Q88" s="5" t="n">
        <f aca="false">N88*O88*(1-P88)</f>
        <v>55.32</v>
      </c>
      <c r="R88" s="5" t="n">
        <v>34.57</v>
      </c>
      <c r="S88" s="6" t="n">
        <f aca="false">IFERROR((Q88-R88)/Q88,0)</f>
        <v>0.375090383224874</v>
      </c>
    </row>
    <row r="89" customFormat="false" ht="15" hidden="false" customHeight="false" outlineLevel="0" collapsed="false">
      <c r="A89" s="2" t="n">
        <v>45379</v>
      </c>
      <c r="B89" s="3" t="s">
        <v>208</v>
      </c>
      <c r="C89" s="3" t="s">
        <v>209</v>
      </c>
      <c r="D89" s="3" t="s">
        <v>210</v>
      </c>
      <c r="E89" s="3" t="s">
        <v>211</v>
      </c>
      <c r="F89" s="3" t="s">
        <v>23</v>
      </c>
      <c r="G89" s="3" t="s">
        <v>95</v>
      </c>
      <c r="H89" s="3" t="s">
        <v>164</v>
      </c>
      <c r="I89" s="3" t="s">
        <v>165</v>
      </c>
      <c r="J89" s="3" t="s">
        <v>32</v>
      </c>
      <c r="K89" s="3" t="s">
        <v>60</v>
      </c>
      <c r="L89" s="3" t="s">
        <v>29</v>
      </c>
      <c r="M89" s="3" t="s">
        <v>23</v>
      </c>
      <c r="N89" s="4" t="n">
        <v>96</v>
      </c>
      <c r="O89" s="5" t="n">
        <v>14.84</v>
      </c>
      <c r="P89" s="6" t="n">
        <v>0.05</v>
      </c>
      <c r="Q89" s="5" t="n">
        <f aca="false">N89*O89*(1-P89)</f>
        <v>1353.408</v>
      </c>
      <c r="R89" s="5" t="n">
        <v>847.03</v>
      </c>
      <c r="S89" s="6" t="n">
        <f aca="false">IFERROR((Q89-R89)/Q89,0)</f>
        <v>0.374150293185795</v>
      </c>
    </row>
    <row r="90" customFormat="false" ht="15" hidden="false" customHeight="false" outlineLevel="0" collapsed="false">
      <c r="A90" s="2" t="n">
        <v>45380</v>
      </c>
      <c r="B90" s="3" t="s">
        <v>212</v>
      </c>
      <c r="C90" s="3" t="s">
        <v>213</v>
      </c>
      <c r="D90" s="3" t="s">
        <v>214</v>
      </c>
      <c r="E90" s="3" t="s">
        <v>215</v>
      </c>
      <c r="F90" s="3" t="s">
        <v>180</v>
      </c>
      <c r="G90" s="3" t="s">
        <v>39</v>
      </c>
      <c r="H90" s="3" t="s">
        <v>164</v>
      </c>
      <c r="I90" s="3" t="s">
        <v>165</v>
      </c>
      <c r="J90" s="3" t="s">
        <v>32</v>
      </c>
      <c r="K90" s="3" t="s">
        <v>60</v>
      </c>
      <c r="L90" s="3" t="s">
        <v>181</v>
      </c>
      <c r="M90" s="3" t="s">
        <v>180</v>
      </c>
      <c r="N90" s="4" t="n">
        <v>24</v>
      </c>
      <c r="O90" s="5" t="n">
        <v>13.77</v>
      </c>
      <c r="P90" s="6" t="n">
        <v>0.1</v>
      </c>
      <c r="Q90" s="5" t="n">
        <f aca="false">N90*O90*(1-P90)</f>
        <v>297.432</v>
      </c>
      <c r="R90" s="5" t="n">
        <v>212.21</v>
      </c>
      <c r="S90" s="6" t="n">
        <f aca="false">IFERROR((Q90-R90)/Q90,0)</f>
        <v>0.286525995857877</v>
      </c>
    </row>
    <row r="91" customFormat="false" ht="15" hidden="false" customHeight="false" outlineLevel="0" collapsed="false">
      <c r="A91" s="2" t="n">
        <v>45380</v>
      </c>
      <c r="B91" s="3" t="s">
        <v>212</v>
      </c>
      <c r="C91" s="3" t="s">
        <v>213</v>
      </c>
      <c r="D91" s="3" t="s">
        <v>214</v>
      </c>
      <c r="E91" s="3" t="s">
        <v>215</v>
      </c>
      <c r="F91" s="3" t="s">
        <v>180</v>
      </c>
      <c r="G91" s="3" t="s">
        <v>39</v>
      </c>
      <c r="H91" s="3" t="s">
        <v>73</v>
      </c>
      <c r="I91" s="3" t="s">
        <v>74</v>
      </c>
      <c r="J91" s="3" t="s">
        <v>48</v>
      </c>
      <c r="K91" s="3" t="s">
        <v>75</v>
      </c>
      <c r="L91" s="3" t="s">
        <v>181</v>
      </c>
      <c r="M91" s="3" t="s">
        <v>180</v>
      </c>
      <c r="N91" s="4" t="n">
        <v>6</v>
      </c>
      <c r="O91" s="5" t="n">
        <v>8.88</v>
      </c>
      <c r="P91" s="6" t="n">
        <v>0</v>
      </c>
      <c r="Q91" s="5" t="n">
        <f aca="false">N91*O91*(1-P91)</f>
        <v>53.28</v>
      </c>
      <c r="R91" s="5" t="n">
        <v>32.81</v>
      </c>
      <c r="S91" s="6" t="n">
        <f aca="false">IFERROR((Q91-R91)/Q91,0)</f>
        <v>0.384196696696697</v>
      </c>
    </row>
    <row r="92" customFormat="false" ht="15" hidden="false" customHeight="false" outlineLevel="0" collapsed="false">
      <c r="A92" s="2" t="n">
        <v>45381</v>
      </c>
      <c r="B92" s="3" t="s">
        <v>216</v>
      </c>
      <c r="C92" s="3" t="s">
        <v>70</v>
      </c>
      <c r="D92" s="3" t="s">
        <v>71</v>
      </c>
      <c r="E92" s="3" t="s">
        <v>72</v>
      </c>
      <c r="F92" s="3" t="s">
        <v>45</v>
      </c>
      <c r="G92" s="3" t="s">
        <v>39</v>
      </c>
      <c r="H92" s="3" t="s">
        <v>158</v>
      </c>
      <c r="I92" s="3" t="s">
        <v>159</v>
      </c>
      <c r="J92" s="3" t="s">
        <v>27</v>
      </c>
      <c r="K92" s="3" t="s">
        <v>149</v>
      </c>
      <c r="L92" s="3" t="s">
        <v>50</v>
      </c>
      <c r="M92" s="3" t="s">
        <v>45</v>
      </c>
      <c r="N92" s="4" t="n">
        <v>48</v>
      </c>
      <c r="O92" s="5" t="n">
        <v>6.65</v>
      </c>
      <c r="P92" s="6" t="n">
        <v>0.1</v>
      </c>
      <c r="Q92" s="5" t="n">
        <f aca="false">N92*O92*(1-P92)</f>
        <v>287.28</v>
      </c>
      <c r="R92" s="5" t="n">
        <v>211.69</v>
      </c>
      <c r="S92" s="6" t="n">
        <f aca="false">IFERROR((Q92-R92)/Q92,0)</f>
        <v>0.263123085491507</v>
      </c>
    </row>
    <row r="93" customFormat="false" ht="15" hidden="false" customHeight="false" outlineLevel="0" collapsed="false">
      <c r="A93" s="2" t="n">
        <v>45381</v>
      </c>
      <c r="B93" s="3" t="s">
        <v>216</v>
      </c>
      <c r="C93" s="3" t="s">
        <v>70</v>
      </c>
      <c r="D93" s="3" t="s">
        <v>71</v>
      </c>
      <c r="E93" s="3" t="s">
        <v>72</v>
      </c>
      <c r="F93" s="3" t="s">
        <v>45</v>
      </c>
      <c r="G93" s="3" t="s">
        <v>39</v>
      </c>
      <c r="H93" s="3" t="s">
        <v>138</v>
      </c>
      <c r="I93" s="3" t="s">
        <v>139</v>
      </c>
      <c r="J93" s="3" t="s">
        <v>27</v>
      </c>
      <c r="K93" s="3" t="s">
        <v>140</v>
      </c>
      <c r="L93" s="3" t="s">
        <v>50</v>
      </c>
      <c r="M93" s="3" t="s">
        <v>45</v>
      </c>
      <c r="N93" s="4" t="n">
        <v>48</v>
      </c>
      <c r="O93" s="5" t="n">
        <v>3.99</v>
      </c>
      <c r="P93" s="6" t="n">
        <v>0.05</v>
      </c>
      <c r="Q93" s="5" t="n">
        <f aca="false">N93*O93*(1-P93)</f>
        <v>181.944</v>
      </c>
      <c r="R93" s="5" t="n">
        <v>111.36</v>
      </c>
      <c r="S93" s="6" t="n">
        <f aca="false">IFERROR((Q93-R93)/Q93,0)</f>
        <v>0.387943543068197</v>
      </c>
    </row>
    <row r="94" customFormat="false" ht="15" hidden="false" customHeight="false" outlineLevel="0" collapsed="false">
      <c r="A94" s="2" t="n">
        <v>45381</v>
      </c>
      <c r="B94" s="3" t="s">
        <v>216</v>
      </c>
      <c r="C94" s="3" t="s">
        <v>70</v>
      </c>
      <c r="D94" s="3" t="s">
        <v>71</v>
      </c>
      <c r="E94" s="3" t="s">
        <v>72</v>
      </c>
      <c r="F94" s="3" t="s">
        <v>45</v>
      </c>
      <c r="G94" s="3" t="s">
        <v>39</v>
      </c>
      <c r="H94" s="3" t="s">
        <v>126</v>
      </c>
      <c r="I94" s="3" t="s">
        <v>127</v>
      </c>
      <c r="J94" s="3" t="s">
        <v>67</v>
      </c>
      <c r="K94" s="3" t="s">
        <v>128</v>
      </c>
      <c r="L94" s="3" t="s">
        <v>50</v>
      </c>
      <c r="M94" s="3" t="s">
        <v>45</v>
      </c>
      <c r="N94" s="4" t="n">
        <v>72</v>
      </c>
      <c r="O94" s="5" t="n">
        <v>6.04</v>
      </c>
      <c r="P94" s="6" t="n">
        <v>0</v>
      </c>
      <c r="Q94" s="5" t="n">
        <f aca="false">N94*O94*(1-P94)</f>
        <v>434.88</v>
      </c>
      <c r="R94" s="5" t="n">
        <v>274.55</v>
      </c>
      <c r="S94" s="6" t="n">
        <f aca="false">IFERROR((Q94-R94)/Q94,0)</f>
        <v>0.368676416482708</v>
      </c>
    </row>
    <row r="95" customFormat="false" ht="15" hidden="false" customHeight="false" outlineLevel="0" collapsed="false">
      <c r="A95" s="2" t="n">
        <v>45381</v>
      </c>
      <c r="B95" s="3" t="s">
        <v>216</v>
      </c>
      <c r="C95" s="3" t="s">
        <v>70</v>
      </c>
      <c r="D95" s="3" t="s">
        <v>71</v>
      </c>
      <c r="E95" s="3" t="s">
        <v>72</v>
      </c>
      <c r="F95" s="3" t="s">
        <v>45</v>
      </c>
      <c r="G95" s="3" t="s">
        <v>39</v>
      </c>
      <c r="H95" s="3" t="s">
        <v>54</v>
      </c>
      <c r="I95" s="3" t="s">
        <v>55</v>
      </c>
      <c r="J95" s="3" t="s">
        <v>56</v>
      </c>
      <c r="K95" s="3" t="s">
        <v>57</v>
      </c>
      <c r="L95" s="3" t="s">
        <v>50</v>
      </c>
      <c r="M95" s="3" t="s">
        <v>45</v>
      </c>
      <c r="N95" s="4" t="n">
        <v>12</v>
      </c>
      <c r="O95" s="5" t="n">
        <v>5.07</v>
      </c>
      <c r="P95" s="6" t="n">
        <v>0.05</v>
      </c>
      <c r="Q95" s="5" t="n">
        <f aca="false">N95*O95*(1-P95)</f>
        <v>57.798</v>
      </c>
      <c r="R95" s="5" t="n">
        <v>35.44</v>
      </c>
      <c r="S95" s="6" t="n">
        <f aca="false">IFERROR((Q95-R95)/Q95,0)</f>
        <v>0.386829994117444</v>
      </c>
    </row>
    <row r="96" customFormat="false" ht="15" hidden="false" customHeight="false" outlineLevel="0" collapsed="false">
      <c r="A96" s="2" t="n">
        <v>45385</v>
      </c>
      <c r="B96" s="3" t="s">
        <v>217</v>
      </c>
      <c r="C96" s="3" t="s">
        <v>155</v>
      </c>
      <c r="D96" s="3" t="s">
        <v>156</v>
      </c>
      <c r="E96" s="3" t="s">
        <v>157</v>
      </c>
      <c r="F96" s="3" t="s">
        <v>38</v>
      </c>
      <c r="G96" s="3" t="s">
        <v>39</v>
      </c>
      <c r="H96" s="3" t="s">
        <v>145</v>
      </c>
      <c r="I96" s="3" t="s">
        <v>146</v>
      </c>
      <c r="J96" s="3" t="s">
        <v>32</v>
      </c>
      <c r="K96" s="3" t="s">
        <v>33</v>
      </c>
      <c r="L96" s="3" t="s">
        <v>40</v>
      </c>
      <c r="M96" s="3" t="s">
        <v>38</v>
      </c>
      <c r="N96" s="4" t="n">
        <v>12</v>
      </c>
      <c r="O96" s="5" t="n">
        <v>18.73</v>
      </c>
      <c r="P96" s="6" t="n">
        <v>0.15</v>
      </c>
      <c r="Q96" s="5" t="n">
        <f aca="false">N96*O96*(1-P96)</f>
        <v>191.046</v>
      </c>
      <c r="R96" s="5" t="n">
        <v>135.78</v>
      </c>
      <c r="S96" s="6" t="n">
        <f aca="false">IFERROR((Q96-R96)/Q96,0)</f>
        <v>0.289281115542854</v>
      </c>
    </row>
    <row r="97" customFormat="false" ht="15" hidden="false" customHeight="false" outlineLevel="0" collapsed="false">
      <c r="A97" s="2" t="n">
        <v>45385</v>
      </c>
      <c r="B97" s="3" t="s">
        <v>217</v>
      </c>
      <c r="C97" s="3" t="s">
        <v>155</v>
      </c>
      <c r="D97" s="3" t="s">
        <v>156</v>
      </c>
      <c r="E97" s="3" t="s">
        <v>157</v>
      </c>
      <c r="F97" s="3" t="s">
        <v>38</v>
      </c>
      <c r="G97" s="3" t="s">
        <v>39</v>
      </c>
      <c r="H97" s="3" t="s">
        <v>126</v>
      </c>
      <c r="I97" s="3" t="s">
        <v>127</v>
      </c>
      <c r="J97" s="3" t="s">
        <v>67</v>
      </c>
      <c r="K97" s="3" t="s">
        <v>128</v>
      </c>
      <c r="L97" s="3" t="s">
        <v>40</v>
      </c>
      <c r="M97" s="3" t="s">
        <v>38</v>
      </c>
      <c r="N97" s="4" t="n">
        <v>6</v>
      </c>
      <c r="O97" s="5" t="n">
        <v>6.99</v>
      </c>
      <c r="P97" s="6" t="n">
        <v>0</v>
      </c>
      <c r="Q97" s="5" t="n">
        <f aca="false">N97*O97*(1-P97)</f>
        <v>41.94</v>
      </c>
      <c r="R97" s="5" t="n">
        <v>22.5</v>
      </c>
      <c r="S97" s="6" t="n">
        <f aca="false">IFERROR((Q97-R97)/Q97,0)</f>
        <v>0.463519313304721</v>
      </c>
    </row>
    <row r="98" customFormat="false" ht="15" hidden="false" customHeight="false" outlineLevel="0" collapsed="false">
      <c r="A98" s="2" t="n">
        <v>45385</v>
      </c>
      <c r="B98" s="3" t="s">
        <v>217</v>
      </c>
      <c r="C98" s="3" t="s">
        <v>155</v>
      </c>
      <c r="D98" s="3" t="s">
        <v>156</v>
      </c>
      <c r="E98" s="3" t="s">
        <v>157</v>
      </c>
      <c r="F98" s="3" t="s">
        <v>218</v>
      </c>
      <c r="G98" s="3" t="s">
        <v>39</v>
      </c>
      <c r="H98" s="3" t="s">
        <v>173</v>
      </c>
      <c r="I98" s="3" t="s">
        <v>174</v>
      </c>
      <c r="J98" s="3" t="s">
        <v>27</v>
      </c>
      <c r="K98" s="3" t="s">
        <v>175</v>
      </c>
      <c r="L98" s="3" t="s">
        <v>40</v>
      </c>
      <c r="M98" s="3" t="s">
        <v>38</v>
      </c>
      <c r="N98" s="4" t="n">
        <v>48</v>
      </c>
      <c r="O98" s="5" t="n">
        <v>18.84</v>
      </c>
      <c r="P98" s="6" t="n">
        <v>0</v>
      </c>
      <c r="Q98" s="5" t="n">
        <f aca="false">N98*O98*(1-P98)</f>
        <v>904.32</v>
      </c>
      <c r="R98" s="5" t="n">
        <v>520.92</v>
      </c>
      <c r="S98" s="6" t="n">
        <f aca="false">IFERROR((Q98-R98)/Q98,0)</f>
        <v>0.423964968152866</v>
      </c>
    </row>
    <row r="99" customFormat="false" ht="15" hidden="false" customHeight="false" outlineLevel="0" collapsed="false">
      <c r="A99" s="2" t="n">
        <v>45394</v>
      </c>
      <c r="B99" s="3" t="s">
        <v>219</v>
      </c>
      <c r="C99" s="3" t="s">
        <v>42</v>
      </c>
      <c r="D99" s="3" t="s">
        <v>43</v>
      </c>
      <c r="E99" s="3" t="s">
        <v>44</v>
      </c>
      <c r="F99" s="3" t="s">
        <v>45</v>
      </c>
      <c r="G99" s="3" t="s">
        <v>24</v>
      </c>
      <c r="H99" s="3" t="s">
        <v>132</v>
      </c>
      <c r="I99" s="3" t="s">
        <v>133</v>
      </c>
      <c r="J99" s="3" t="s">
        <v>27</v>
      </c>
      <c r="K99" s="3" t="s">
        <v>28</v>
      </c>
      <c r="L99" s="3" t="s">
        <v>50</v>
      </c>
      <c r="M99" s="3" t="s">
        <v>45</v>
      </c>
      <c r="N99" s="4" t="n">
        <v>6</v>
      </c>
      <c r="O99" s="5" t="n">
        <v>14.48</v>
      </c>
      <c r="P99" s="6" t="n">
        <v>0.1</v>
      </c>
      <c r="Q99" s="5" t="n">
        <f aca="false">N99*O99*(1-P99)</f>
        <v>78.192</v>
      </c>
      <c r="R99" s="5" t="n">
        <v>50.07</v>
      </c>
      <c r="S99" s="6" t="n">
        <f aca="false">IFERROR((Q99-R99)/Q99,0)</f>
        <v>0.359653161448742</v>
      </c>
    </row>
    <row r="100" customFormat="false" ht="15" hidden="false" customHeight="false" outlineLevel="0" collapsed="false">
      <c r="A100" s="2" t="n">
        <v>45394</v>
      </c>
      <c r="B100" s="3" t="s">
        <v>219</v>
      </c>
      <c r="C100" s="3" t="s">
        <v>42</v>
      </c>
      <c r="D100" s="3" t="s">
        <v>43</v>
      </c>
      <c r="E100" s="3" t="s">
        <v>44</v>
      </c>
      <c r="F100" s="3" t="s">
        <v>45</v>
      </c>
      <c r="G100" s="3" t="s">
        <v>24</v>
      </c>
      <c r="H100" s="3" t="s">
        <v>96</v>
      </c>
      <c r="I100" s="3" t="s">
        <v>97</v>
      </c>
      <c r="J100" s="3" t="s">
        <v>48</v>
      </c>
      <c r="K100" s="3" t="s">
        <v>75</v>
      </c>
      <c r="L100" s="3" t="s">
        <v>50</v>
      </c>
      <c r="M100" s="3" t="s">
        <v>45</v>
      </c>
      <c r="N100" s="4" t="n">
        <v>60</v>
      </c>
      <c r="O100" s="5" t="n">
        <v>8.63</v>
      </c>
      <c r="P100" s="6" t="n">
        <v>0</v>
      </c>
      <c r="Q100" s="5" t="n">
        <f aca="false">N100*O100*(1-P100)</f>
        <v>517.8</v>
      </c>
      <c r="R100" s="5" t="n">
        <v>297.75</v>
      </c>
      <c r="S100" s="6" t="n">
        <f aca="false">IFERROR((Q100-R100)/Q100,0)</f>
        <v>0.424971031286211</v>
      </c>
    </row>
    <row r="101" customFormat="false" ht="15" hidden="false" customHeight="false" outlineLevel="0" collapsed="false">
      <c r="A101" s="2" t="n">
        <v>45395</v>
      </c>
      <c r="B101" s="3" t="s">
        <v>220</v>
      </c>
      <c r="C101" s="3" t="s">
        <v>155</v>
      </c>
      <c r="D101" s="3" t="s">
        <v>156</v>
      </c>
      <c r="E101" s="3" t="s">
        <v>157</v>
      </c>
      <c r="F101" s="3" t="s">
        <v>38</v>
      </c>
      <c r="G101" s="3" t="s">
        <v>39</v>
      </c>
      <c r="H101" s="3" t="s">
        <v>189</v>
      </c>
      <c r="I101" s="3" t="s">
        <v>190</v>
      </c>
      <c r="J101" s="3" t="s">
        <v>27</v>
      </c>
      <c r="K101" s="3" t="s">
        <v>149</v>
      </c>
      <c r="L101" s="3" t="s">
        <v>40</v>
      </c>
      <c r="M101" s="3" t="s">
        <v>38</v>
      </c>
      <c r="N101" s="4" t="n">
        <v>48</v>
      </c>
      <c r="O101" s="5" t="n">
        <v>10.09</v>
      </c>
      <c r="P101" s="6" t="n">
        <v>0.05</v>
      </c>
      <c r="Q101" s="5" t="n">
        <f aca="false">N101*O101*(1-P101)</f>
        <v>460.104</v>
      </c>
      <c r="R101" s="5" t="n">
        <v>283.23</v>
      </c>
      <c r="S101" s="6" t="n">
        <f aca="false">IFERROR((Q101-R101)/Q101,0)</f>
        <v>0.384421782901257</v>
      </c>
    </row>
    <row r="102" customFormat="false" ht="15" hidden="false" customHeight="false" outlineLevel="0" collapsed="false">
      <c r="A102" s="2" t="n">
        <v>45400</v>
      </c>
      <c r="B102" s="3" t="s">
        <v>221</v>
      </c>
      <c r="C102" s="3" t="s">
        <v>167</v>
      </c>
      <c r="D102" s="3" t="s">
        <v>168</v>
      </c>
      <c r="E102" s="3" t="s">
        <v>169</v>
      </c>
      <c r="F102" s="3" t="s">
        <v>170</v>
      </c>
      <c r="G102" s="3" t="s">
        <v>39</v>
      </c>
      <c r="H102" s="3" t="s">
        <v>132</v>
      </c>
      <c r="I102" s="3" t="s">
        <v>133</v>
      </c>
      <c r="J102" s="3" t="s">
        <v>27</v>
      </c>
      <c r="K102" s="3" t="s">
        <v>28</v>
      </c>
      <c r="L102" s="3" t="s">
        <v>106</v>
      </c>
      <c r="M102" s="3" t="s">
        <v>107</v>
      </c>
      <c r="N102" s="4" t="n">
        <v>48</v>
      </c>
      <c r="O102" s="5" t="n">
        <v>12.8</v>
      </c>
      <c r="P102" s="6" t="n">
        <v>0</v>
      </c>
      <c r="Q102" s="5" t="n">
        <f aca="false">N102*O102*(1-P102)</f>
        <v>614.4</v>
      </c>
      <c r="R102" s="5" t="n">
        <v>388.19</v>
      </c>
      <c r="S102" s="6" t="n">
        <f aca="false">IFERROR((Q102-R102)/Q102,0)</f>
        <v>0.368180338541667</v>
      </c>
    </row>
    <row r="103" customFormat="false" ht="15" hidden="false" customHeight="false" outlineLevel="0" collapsed="false">
      <c r="A103" s="2" t="n">
        <v>45400</v>
      </c>
      <c r="B103" s="3" t="s">
        <v>221</v>
      </c>
      <c r="C103" s="3" t="s">
        <v>167</v>
      </c>
      <c r="D103" s="3" t="s">
        <v>168</v>
      </c>
      <c r="E103" s="3" t="s">
        <v>169</v>
      </c>
      <c r="F103" s="3" t="s">
        <v>170</v>
      </c>
      <c r="G103" s="3" t="s">
        <v>39</v>
      </c>
      <c r="H103" s="3" t="s">
        <v>138</v>
      </c>
      <c r="I103" s="3" t="s">
        <v>139</v>
      </c>
      <c r="J103" s="3" t="s">
        <v>27</v>
      </c>
      <c r="K103" s="3" t="s">
        <v>140</v>
      </c>
      <c r="L103" s="3" t="s">
        <v>106</v>
      </c>
      <c r="M103" s="3" t="s">
        <v>107</v>
      </c>
      <c r="N103" s="4" t="n">
        <v>120</v>
      </c>
      <c r="O103" s="5" t="n">
        <v>3.67</v>
      </c>
      <c r="P103" s="6" t="n">
        <v>0</v>
      </c>
      <c r="Q103" s="5" t="n">
        <f aca="false">N103*O103*(1-P103)</f>
        <v>440.4</v>
      </c>
      <c r="R103" s="5" t="n">
        <v>273.66</v>
      </c>
      <c r="S103" s="6" t="n">
        <f aca="false">IFERROR((Q103-R103)/Q103,0)</f>
        <v>0.378610354223433</v>
      </c>
    </row>
    <row r="104" customFormat="false" ht="15" hidden="false" customHeight="false" outlineLevel="0" collapsed="false">
      <c r="A104" s="2" t="n">
        <v>45400</v>
      </c>
      <c r="B104" s="3" t="s">
        <v>221</v>
      </c>
      <c r="C104" s="3" t="s">
        <v>167</v>
      </c>
      <c r="D104" s="3" t="s">
        <v>168</v>
      </c>
      <c r="E104" s="3" t="s">
        <v>169</v>
      </c>
      <c r="F104" s="3" t="s">
        <v>170</v>
      </c>
      <c r="G104" s="3" t="s">
        <v>39</v>
      </c>
      <c r="H104" s="3" t="s">
        <v>222</v>
      </c>
      <c r="I104" s="3" t="s">
        <v>223</v>
      </c>
      <c r="J104" s="3" t="s">
        <v>67</v>
      </c>
      <c r="K104" s="3" t="s">
        <v>184</v>
      </c>
      <c r="L104" s="3" t="s">
        <v>106</v>
      </c>
      <c r="M104" s="3" t="s">
        <v>107</v>
      </c>
      <c r="N104" s="4" t="n">
        <v>120</v>
      </c>
      <c r="O104" s="5" t="n">
        <v>17.6</v>
      </c>
      <c r="P104" s="6" t="n">
        <v>0</v>
      </c>
      <c r="Q104" s="5" t="n">
        <f aca="false">N104*O104*(1-P104)</f>
        <v>2112</v>
      </c>
      <c r="R104" s="5" t="n">
        <v>1403.4</v>
      </c>
      <c r="S104" s="6" t="n">
        <f aca="false">IFERROR((Q104-R104)/Q104,0)</f>
        <v>0.335511363636364</v>
      </c>
    </row>
    <row r="105" customFormat="false" ht="15" hidden="false" customHeight="false" outlineLevel="0" collapsed="false">
      <c r="A105" s="2" t="n">
        <v>45400</v>
      </c>
      <c r="B105" s="3" t="s">
        <v>224</v>
      </c>
      <c r="C105" s="3" t="s">
        <v>155</v>
      </c>
      <c r="D105" s="3" t="s">
        <v>156</v>
      </c>
      <c r="E105" s="3" t="s">
        <v>157</v>
      </c>
      <c r="F105" s="3" t="s">
        <v>38</v>
      </c>
      <c r="G105" s="3" t="s">
        <v>39</v>
      </c>
      <c r="H105" s="3" t="s">
        <v>158</v>
      </c>
      <c r="I105" s="3" t="s">
        <v>159</v>
      </c>
      <c r="J105" s="3" t="s">
        <v>27</v>
      </c>
      <c r="K105" s="3" t="s">
        <v>149</v>
      </c>
      <c r="L105" s="3" t="s">
        <v>40</v>
      </c>
      <c r="M105" s="3" t="s">
        <v>38</v>
      </c>
      <c r="N105" s="4" t="n">
        <v>72</v>
      </c>
      <c r="O105" s="5" t="n">
        <v>6.9</v>
      </c>
      <c r="P105" s="6" t="n">
        <v>0</v>
      </c>
      <c r="Q105" s="5" t="n">
        <f aca="false">N105*O105*(1-P105)</f>
        <v>496.8</v>
      </c>
      <c r="R105" s="5" t="n">
        <v>327.72</v>
      </c>
      <c r="S105" s="6" t="n">
        <f aca="false">IFERROR((Q105-R105)/Q105,0)</f>
        <v>0.340338164251208</v>
      </c>
    </row>
    <row r="106" customFormat="false" ht="15" hidden="false" customHeight="false" outlineLevel="0" collapsed="false">
      <c r="A106" s="2" t="n">
        <v>45401</v>
      </c>
      <c r="B106" s="3" t="s">
        <v>225</v>
      </c>
      <c r="C106" s="3" t="s">
        <v>77</v>
      </c>
      <c r="D106" s="3" t="s">
        <v>78</v>
      </c>
      <c r="E106" s="3" t="s">
        <v>79</v>
      </c>
      <c r="F106" s="3" t="s">
        <v>45</v>
      </c>
      <c r="G106" s="3" t="s">
        <v>80</v>
      </c>
      <c r="H106" s="3" t="s">
        <v>65</v>
      </c>
      <c r="I106" s="3" t="s">
        <v>66</v>
      </c>
      <c r="J106" s="3" t="s">
        <v>67</v>
      </c>
      <c r="K106" s="3" t="s">
        <v>68</v>
      </c>
      <c r="L106" s="3" t="s">
        <v>50</v>
      </c>
      <c r="M106" s="3" t="s">
        <v>45</v>
      </c>
      <c r="N106" s="4" t="n">
        <v>24</v>
      </c>
      <c r="O106" s="5" t="n">
        <v>26.38</v>
      </c>
      <c r="P106" s="6" t="n">
        <v>0</v>
      </c>
      <c r="Q106" s="5" t="n">
        <f aca="false">N106*O106*(1-P106)</f>
        <v>633.12</v>
      </c>
      <c r="R106" s="5" t="n">
        <v>415.23</v>
      </c>
      <c r="S106" s="6" t="n">
        <f aca="false">IFERROR((Q106-R106)/Q106,0)</f>
        <v>0.344152767247915</v>
      </c>
    </row>
    <row r="107" customFormat="false" ht="15" hidden="false" customHeight="false" outlineLevel="0" collapsed="false">
      <c r="A107" s="2" t="n">
        <v>45401</v>
      </c>
      <c r="B107" s="3" t="s">
        <v>225</v>
      </c>
      <c r="C107" s="3" t="s">
        <v>77</v>
      </c>
      <c r="D107" s="3" t="s">
        <v>78</v>
      </c>
      <c r="E107" s="3" t="s">
        <v>79</v>
      </c>
      <c r="F107" s="3" t="s">
        <v>45</v>
      </c>
      <c r="G107" s="3" t="s">
        <v>80</v>
      </c>
      <c r="H107" s="3" t="s">
        <v>145</v>
      </c>
      <c r="I107" s="3" t="s">
        <v>146</v>
      </c>
      <c r="J107" s="3" t="s">
        <v>32</v>
      </c>
      <c r="K107" s="3" t="s">
        <v>33</v>
      </c>
      <c r="L107" s="3" t="s">
        <v>50</v>
      </c>
      <c r="M107" s="3" t="s">
        <v>45</v>
      </c>
      <c r="N107" s="4" t="n">
        <v>120</v>
      </c>
      <c r="O107" s="5" t="n">
        <v>17.57</v>
      </c>
      <c r="P107" s="6" t="n">
        <v>0</v>
      </c>
      <c r="Q107" s="5" t="n">
        <f aca="false">N107*O107*(1-P107)</f>
        <v>2108.4</v>
      </c>
      <c r="R107" s="5" t="n">
        <v>1373.54</v>
      </c>
      <c r="S107" s="6" t="n">
        <f aca="false">IFERROR((Q107-R107)/Q107,0)</f>
        <v>0.348539176626826</v>
      </c>
    </row>
    <row r="108" customFormat="false" ht="15" hidden="false" customHeight="false" outlineLevel="0" collapsed="false">
      <c r="A108" s="2" t="n">
        <v>45404</v>
      </c>
      <c r="B108" s="3" t="s">
        <v>226</v>
      </c>
      <c r="C108" s="3" t="s">
        <v>123</v>
      </c>
      <c r="D108" s="3" t="s">
        <v>124</v>
      </c>
      <c r="E108" s="3" t="s">
        <v>125</v>
      </c>
      <c r="F108" s="3" t="s">
        <v>38</v>
      </c>
      <c r="G108" s="3" t="s">
        <v>39</v>
      </c>
      <c r="H108" s="3" t="s">
        <v>81</v>
      </c>
      <c r="I108" s="3" t="s">
        <v>82</v>
      </c>
      <c r="J108" s="3" t="s">
        <v>32</v>
      </c>
      <c r="K108" s="3" t="s">
        <v>83</v>
      </c>
      <c r="L108" s="3" t="s">
        <v>40</v>
      </c>
      <c r="M108" s="3" t="s">
        <v>38</v>
      </c>
      <c r="N108" s="4" t="n">
        <v>60</v>
      </c>
      <c r="O108" s="5" t="n">
        <v>19.98</v>
      </c>
      <c r="P108" s="6" t="n">
        <v>0.1</v>
      </c>
      <c r="Q108" s="5" t="n">
        <f aca="false">N108*O108*(1-P108)</f>
        <v>1078.92</v>
      </c>
      <c r="R108" s="5" t="n">
        <v>792.93</v>
      </c>
      <c r="S108" s="6" t="n">
        <f aca="false">IFERROR((Q108-R108)/Q108,0)</f>
        <v>0.265070626181737</v>
      </c>
    </row>
    <row r="109" customFormat="false" ht="15" hidden="false" customHeight="false" outlineLevel="0" collapsed="false">
      <c r="A109" s="2" t="n">
        <v>45406</v>
      </c>
      <c r="B109" s="3" t="s">
        <v>227</v>
      </c>
      <c r="C109" s="3" t="s">
        <v>228</v>
      </c>
      <c r="D109" s="3" t="s">
        <v>124</v>
      </c>
      <c r="E109" s="3" t="s">
        <v>229</v>
      </c>
      <c r="F109" s="3" t="s">
        <v>45</v>
      </c>
      <c r="G109" s="3" t="s">
        <v>39</v>
      </c>
      <c r="H109" s="3" t="s">
        <v>96</v>
      </c>
      <c r="I109" s="3" t="s">
        <v>97</v>
      </c>
      <c r="J109" s="3" t="s">
        <v>48</v>
      </c>
      <c r="K109" s="3" t="s">
        <v>75</v>
      </c>
      <c r="L109" s="3" t="s">
        <v>29</v>
      </c>
      <c r="M109" s="3" t="s">
        <v>23</v>
      </c>
      <c r="N109" s="4" t="n">
        <v>6</v>
      </c>
      <c r="O109" s="5" t="n">
        <v>8.53</v>
      </c>
      <c r="P109" s="6" t="n">
        <v>0</v>
      </c>
      <c r="Q109" s="5" t="n">
        <f aca="false">N109*O109*(1-P109)</f>
        <v>51.18</v>
      </c>
      <c r="R109" s="5" t="n">
        <v>29.05</v>
      </c>
      <c r="S109" s="6" t="n">
        <f aca="false">IFERROR((Q109-R109)/Q109,0)</f>
        <v>0.432395466979289</v>
      </c>
    </row>
    <row r="110" customFormat="false" ht="15" hidden="false" customHeight="false" outlineLevel="0" collapsed="false">
      <c r="A110" s="2" t="n">
        <v>45411</v>
      </c>
      <c r="B110" s="3" t="s">
        <v>230</v>
      </c>
      <c r="C110" s="3" t="s">
        <v>201</v>
      </c>
      <c r="D110" s="3" t="s">
        <v>202</v>
      </c>
      <c r="E110" s="3" t="s">
        <v>203</v>
      </c>
      <c r="F110" s="3" t="s">
        <v>170</v>
      </c>
      <c r="G110" s="3" t="s">
        <v>24</v>
      </c>
      <c r="H110" s="3" t="s">
        <v>147</v>
      </c>
      <c r="I110" s="3" t="s">
        <v>148</v>
      </c>
      <c r="J110" s="3" t="s">
        <v>27</v>
      </c>
      <c r="K110" s="3" t="s">
        <v>149</v>
      </c>
      <c r="L110" s="3" t="s">
        <v>106</v>
      </c>
      <c r="M110" s="3" t="s">
        <v>107</v>
      </c>
      <c r="N110" s="4" t="n">
        <v>72</v>
      </c>
      <c r="O110" s="5" t="n">
        <v>4.8</v>
      </c>
      <c r="P110" s="6" t="n">
        <v>0</v>
      </c>
      <c r="Q110" s="5" t="n">
        <f aca="false">N110*O110*(1-P110)</f>
        <v>345.6</v>
      </c>
      <c r="R110" s="5" t="n">
        <v>202.79</v>
      </c>
      <c r="S110" s="6" t="n">
        <f aca="false">IFERROR((Q110-R110)/Q110,0)</f>
        <v>0.41322337962963</v>
      </c>
    </row>
    <row r="111" customFormat="false" ht="15" hidden="false" customHeight="false" outlineLevel="0" collapsed="false">
      <c r="A111" s="2" t="n">
        <v>45411</v>
      </c>
      <c r="B111" s="3" t="s">
        <v>230</v>
      </c>
      <c r="C111" s="3" t="s">
        <v>201</v>
      </c>
      <c r="D111" s="3" t="s">
        <v>202</v>
      </c>
      <c r="E111" s="3" t="s">
        <v>203</v>
      </c>
      <c r="F111" s="3" t="s">
        <v>170</v>
      </c>
      <c r="G111" s="3" t="s">
        <v>24</v>
      </c>
      <c r="H111" s="3" t="s">
        <v>54</v>
      </c>
      <c r="I111" s="3" t="s">
        <v>55</v>
      </c>
      <c r="J111" s="3" t="s">
        <v>56</v>
      </c>
      <c r="K111" s="3" t="s">
        <v>57</v>
      </c>
      <c r="L111" s="3" t="s">
        <v>106</v>
      </c>
      <c r="M111" s="3" t="s">
        <v>107</v>
      </c>
      <c r="N111" s="4" t="n">
        <v>120</v>
      </c>
      <c r="O111" s="5" t="n">
        <v>5.11</v>
      </c>
      <c r="P111" s="6" t="n">
        <v>0</v>
      </c>
      <c r="Q111" s="5" t="n">
        <f aca="false">N111*O111*(1-P111)</f>
        <v>613.2</v>
      </c>
      <c r="R111" s="5" t="n">
        <v>350.08</v>
      </c>
      <c r="S111" s="6" t="n">
        <f aca="false">IFERROR((Q111-R111)/Q111,0)</f>
        <v>0.429093281148076</v>
      </c>
    </row>
    <row r="112" customFormat="false" ht="15" hidden="false" customHeight="false" outlineLevel="0" collapsed="false">
      <c r="A112" s="2" t="n">
        <v>45411</v>
      </c>
      <c r="B112" s="3" t="s">
        <v>230</v>
      </c>
      <c r="C112" s="3" t="s">
        <v>201</v>
      </c>
      <c r="D112" s="3" t="s">
        <v>202</v>
      </c>
      <c r="E112" s="3" t="s">
        <v>203</v>
      </c>
      <c r="F112" s="3" t="s">
        <v>170</v>
      </c>
      <c r="G112" s="3" t="s">
        <v>24</v>
      </c>
      <c r="H112" s="3" t="s">
        <v>81</v>
      </c>
      <c r="I112" s="3" t="s">
        <v>82</v>
      </c>
      <c r="J112" s="3" t="s">
        <v>32</v>
      </c>
      <c r="K112" s="3" t="s">
        <v>83</v>
      </c>
      <c r="L112" s="3" t="s">
        <v>106</v>
      </c>
      <c r="M112" s="3" t="s">
        <v>107</v>
      </c>
      <c r="N112" s="4" t="n">
        <v>6</v>
      </c>
      <c r="O112" s="5" t="n">
        <v>23.04</v>
      </c>
      <c r="P112" s="6" t="n">
        <v>0</v>
      </c>
      <c r="Q112" s="5" t="n">
        <f aca="false">N112*O112*(1-P112)</f>
        <v>138.24</v>
      </c>
      <c r="R112" s="5" t="n">
        <v>80.77</v>
      </c>
      <c r="S112" s="6" t="n">
        <f aca="false">IFERROR((Q112-R112)/Q112,0)</f>
        <v>0.415726273148148</v>
      </c>
    </row>
    <row r="113" customFormat="false" ht="15" hidden="false" customHeight="false" outlineLevel="0" collapsed="false">
      <c r="A113" s="2" t="n">
        <v>45411</v>
      </c>
      <c r="B113" s="3" t="s">
        <v>230</v>
      </c>
      <c r="C113" s="3" t="s">
        <v>201</v>
      </c>
      <c r="D113" s="3" t="s">
        <v>202</v>
      </c>
      <c r="E113" s="3" t="s">
        <v>203</v>
      </c>
      <c r="F113" s="3" t="s">
        <v>170</v>
      </c>
      <c r="G113" s="3" t="s">
        <v>24</v>
      </c>
      <c r="H113" s="3" t="s">
        <v>87</v>
      </c>
      <c r="I113" s="3" t="s">
        <v>88</v>
      </c>
      <c r="J113" s="3" t="s">
        <v>89</v>
      </c>
      <c r="K113" s="3" t="s">
        <v>90</v>
      </c>
      <c r="L113" s="3" t="s">
        <v>106</v>
      </c>
      <c r="M113" s="3" t="s">
        <v>107</v>
      </c>
      <c r="N113" s="4" t="n">
        <v>48</v>
      </c>
      <c r="O113" s="5" t="n">
        <v>17.52</v>
      </c>
      <c r="P113" s="6" t="n">
        <v>0</v>
      </c>
      <c r="Q113" s="5" t="n">
        <f aca="false">N113*O113*(1-P113)</f>
        <v>840.96</v>
      </c>
      <c r="R113" s="5" t="n">
        <v>482.64</v>
      </c>
      <c r="S113" s="6" t="n">
        <f aca="false">IFERROR((Q113-R113)/Q113,0)</f>
        <v>0.426084474885845</v>
      </c>
    </row>
    <row r="114" customFormat="false" ht="15" hidden="false" customHeight="false" outlineLevel="0" collapsed="false">
      <c r="A114" s="2" t="n">
        <v>45413</v>
      </c>
      <c r="B114" s="3" t="s">
        <v>231</v>
      </c>
      <c r="C114" s="3" t="s">
        <v>77</v>
      </c>
      <c r="D114" s="3" t="s">
        <v>78</v>
      </c>
      <c r="E114" s="3" t="s">
        <v>79</v>
      </c>
      <c r="F114" s="3" t="s">
        <v>45</v>
      </c>
      <c r="G114" s="3" t="s">
        <v>80</v>
      </c>
      <c r="H114" s="3" t="s">
        <v>189</v>
      </c>
      <c r="I114" s="3" t="s">
        <v>190</v>
      </c>
      <c r="J114" s="3" t="s">
        <v>27</v>
      </c>
      <c r="K114" s="3" t="s">
        <v>149</v>
      </c>
      <c r="L114" s="3" t="s">
        <v>50</v>
      </c>
      <c r="M114" s="3" t="s">
        <v>45</v>
      </c>
      <c r="N114" s="4" t="n">
        <v>96</v>
      </c>
      <c r="O114" s="5" t="n">
        <v>8.78</v>
      </c>
      <c r="P114" s="6" t="n">
        <v>0.05</v>
      </c>
      <c r="Q114" s="5" t="n">
        <f aca="false">N114*O114*(1-P114)</f>
        <v>800.736</v>
      </c>
      <c r="R114" s="5" t="n">
        <v>563.09</v>
      </c>
      <c r="S114" s="6" t="n">
        <f aca="false">IFERROR((Q114-R114)/Q114,0)</f>
        <v>0.296784458298365</v>
      </c>
    </row>
    <row r="115" customFormat="false" ht="15" hidden="false" customHeight="false" outlineLevel="0" collapsed="false">
      <c r="A115" s="2" t="n">
        <v>45413</v>
      </c>
      <c r="B115" s="3" t="s">
        <v>231</v>
      </c>
      <c r="C115" s="3" t="s">
        <v>77</v>
      </c>
      <c r="D115" s="3" t="s">
        <v>78</v>
      </c>
      <c r="E115" s="3" t="s">
        <v>79</v>
      </c>
      <c r="F115" s="3" t="s">
        <v>45</v>
      </c>
      <c r="G115" s="3" t="s">
        <v>80</v>
      </c>
      <c r="H115" s="3" t="s">
        <v>222</v>
      </c>
      <c r="I115" s="3" t="s">
        <v>223</v>
      </c>
      <c r="J115" s="3" t="s">
        <v>67</v>
      </c>
      <c r="K115" s="3" t="s">
        <v>184</v>
      </c>
      <c r="L115" s="3" t="s">
        <v>50</v>
      </c>
      <c r="M115" s="3" t="s">
        <v>45</v>
      </c>
      <c r="N115" s="4" t="n">
        <v>48</v>
      </c>
      <c r="O115" s="5" t="n">
        <v>18.19</v>
      </c>
      <c r="P115" s="6" t="n">
        <v>0</v>
      </c>
      <c r="Q115" s="5" t="n">
        <f aca="false">N115*O115*(1-P115)</f>
        <v>873.12</v>
      </c>
      <c r="R115" s="5" t="n">
        <v>549.41</v>
      </c>
      <c r="S115" s="6" t="n">
        <f aca="false">IFERROR((Q115-R115)/Q115,0)</f>
        <v>0.370750870441635</v>
      </c>
    </row>
    <row r="116" customFormat="false" ht="15" hidden="false" customHeight="false" outlineLevel="0" collapsed="false">
      <c r="A116" s="2" t="n">
        <v>45414</v>
      </c>
      <c r="B116" s="3" t="s">
        <v>232</v>
      </c>
      <c r="C116" s="3" t="s">
        <v>177</v>
      </c>
      <c r="D116" s="3" t="s">
        <v>178</v>
      </c>
      <c r="E116" s="3" t="s">
        <v>179</v>
      </c>
      <c r="F116" s="3" t="s">
        <v>180</v>
      </c>
      <c r="G116" s="3" t="s">
        <v>24</v>
      </c>
      <c r="H116" s="3" t="s">
        <v>58</v>
      </c>
      <c r="I116" s="3" t="s">
        <v>59</v>
      </c>
      <c r="J116" s="3" t="s">
        <v>32</v>
      </c>
      <c r="K116" s="3" t="s">
        <v>60</v>
      </c>
      <c r="L116" s="3" t="s">
        <v>181</v>
      </c>
      <c r="M116" s="3" t="s">
        <v>180</v>
      </c>
      <c r="N116" s="4" t="n">
        <v>60</v>
      </c>
      <c r="O116" s="5" t="n">
        <v>5.76</v>
      </c>
      <c r="P116" s="6" t="n">
        <v>0</v>
      </c>
      <c r="Q116" s="5" t="n">
        <f aca="false">N116*O116*(1-P116)</f>
        <v>345.6</v>
      </c>
      <c r="R116" s="5" t="n">
        <v>200</v>
      </c>
      <c r="S116" s="6" t="n">
        <f aca="false">IFERROR((Q116-R116)/Q116,0)</f>
        <v>0.421296296296296</v>
      </c>
    </row>
    <row r="117" customFormat="false" ht="15" hidden="false" customHeight="false" outlineLevel="0" collapsed="false">
      <c r="A117" s="2" t="n">
        <v>45414</v>
      </c>
      <c r="B117" s="3" t="s">
        <v>232</v>
      </c>
      <c r="C117" s="3" t="s">
        <v>177</v>
      </c>
      <c r="D117" s="3" t="s">
        <v>178</v>
      </c>
      <c r="E117" s="3" t="s">
        <v>179</v>
      </c>
      <c r="F117" s="3" t="s">
        <v>180</v>
      </c>
      <c r="G117" s="3" t="s">
        <v>24</v>
      </c>
      <c r="H117" s="3" t="s">
        <v>182</v>
      </c>
      <c r="I117" s="3" t="s">
        <v>183</v>
      </c>
      <c r="J117" s="3" t="s">
        <v>67</v>
      </c>
      <c r="K117" s="3" t="s">
        <v>184</v>
      </c>
      <c r="L117" s="3" t="s">
        <v>181</v>
      </c>
      <c r="M117" s="3" t="s">
        <v>180</v>
      </c>
      <c r="N117" s="4" t="n">
        <v>12</v>
      </c>
      <c r="O117" s="5" t="n">
        <v>11.65</v>
      </c>
      <c r="P117" s="6" t="n">
        <v>0</v>
      </c>
      <c r="Q117" s="5" t="n">
        <f aca="false">N117*O117*(1-P117)</f>
        <v>139.8</v>
      </c>
      <c r="R117" s="5" t="n">
        <v>93.62</v>
      </c>
      <c r="S117" s="6" t="n">
        <f aca="false">IFERROR((Q117-R117)/Q117,0)</f>
        <v>0.33032904148784</v>
      </c>
    </row>
    <row r="118" customFormat="false" ht="15" hidden="false" customHeight="false" outlineLevel="0" collapsed="false">
      <c r="A118" s="2" t="n">
        <v>45414</v>
      </c>
      <c r="B118" s="3" t="s">
        <v>232</v>
      </c>
      <c r="C118" s="3" t="s">
        <v>177</v>
      </c>
      <c r="D118" s="3" t="s">
        <v>178</v>
      </c>
      <c r="E118" s="3" t="s">
        <v>179</v>
      </c>
      <c r="F118" s="3" t="s">
        <v>180</v>
      </c>
      <c r="G118" s="3" t="s">
        <v>24</v>
      </c>
      <c r="H118" s="3" t="s">
        <v>132</v>
      </c>
      <c r="I118" s="3" t="s">
        <v>133</v>
      </c>
      <c r="J118" s="3" t="s">
        <v>27</v>
      </c>
      <c r="K118" s="3" t="s">
        <v>28</v>
      </c>
      <c r="L118" s="3" t="s">
        <v>181</v>
      </c>
      <c r="M118" s="3" t="s">
        <v>180</v>
      </c>
      <c r="N118" s="4" t="n">
        <v>72</v>
      </c>
      <c r="O118" s="5" t="n">
        <v>14.32</v>
      </c>
      <c r="P118" s="6" t="n">
        <v>0</v>
      </c>
      <c r="Q118" s="5" t="n">
        <f aca="false">N118*O118*(1-P118)</f>
        <v>1031.04</v>
      </c>
      <c r="R118" s="5" t="n">
        <v>587.32</v>
      </c>
      <c r="S118" s="6" t="n">
        <f aca="false">IFERROR((Q118-R118)/Q118,0)</f>
        <v>0.430361576660459</v>
      </c>
    </row>
    <row r="119" customFormat="false" ht="15" hidden="false" customHeight="false" outlineLevel="0" collapsed="false">
      <c r="A119" s="2" t="n">
        <v>45415</v>
      </c>
      <c r="B119" s="3" t="s">
        <v>233</v>
      </c>
      <c r="C119" s="3" t="s">
        <v>234</v>
      </c>
      <c r="D119" s="3" t="s">
        <v>235</v>
      </c>
      <c r="E119" s="3" t="s">
        <v>236</v>
      </c>
      <c r="F119" s="3" t="s">
        <v>23</v>
      </c>
      <c r="G119" s="3" t="s">
        <v>24</v>
      </c>
      <c r="H119" s="3" t="s">
        <v>138</v>
      </c>
      <c r="I119" s="3" t="s">
        <v>139</v>
      </c>
      <c r="J119" s="3" t="s">
        <v>27</v>
      </c>
      <c r="K119" s="3" t="s">
        <v>140</v>
      </c>
      <c r="L119" s="3" t="s">
        <v>29</v>
      </c>
      <c r="M119" s="3" t="s">
        <v>23</v>
      </c>
      <c r="N119" s="4" t="n">
        <v>120</v>
      </c>
      <c r="O119" s="5" t="n">
        <v>3.99</v>
      </c>
      <c r="P119" s="6" t="n">
        <v>0.15</v>
      </c>
      <c r="Q119" s="5" t="n">
        <f aca="false">N119*O119*(1-P119)</f>
        <v>406.98</v>
      </c>
      <c r="R119" s="5" t="n">
        <v>278.93</v>
      </c>
      <c r="S119" s="6" t="n">
        <f aca="false">IFERROR((Q119-R119)/Q119,0)</f>
        <v>0.314634625780137</v>
      </c>
    </row>
    <row r="120" customFormat="false" ht="15" hidden="false" customHeight="false" outlineLevel="0" collapsed="false">
      <c r="A120" s="2" t="n">
        <v>45416</v>
      </c>
      <c r="B120" s="3" t="s">
        <v>237</v>
      </c>
      <c r="C120" s="3" t="s">
        <v>234</v>
      </c>
      <c r="D120" s="3" t="s">
        <v>235</v>
      </c>
      <c r="E120" s="3" t="s">
        <v>236</v>
      </c>
      <c r="F120" s="3" t="s">
        <v>23</v>
      </c>
      <c r="G120" s="3" t="s">
        <v>24</v>
      </c>
      <c r="H120" s="3" t="s">
        <v>108</v>
      </c>
      <c r="I120" s="3" t="s">
        <v>109</v>
      </c>
      <c r="J120" s="3" t="s">
        <v>48</v>
      </c>
      <c r="K120" s="3" t="s">
        <v>110</v>
      </c>
      <c r="L120" s="3" t="s">
        <v>29</v>
      </c>
      <c r="M120" s="3" t="s">
        <v>23</v>
      </c>
      <c r="N120" s="4" t="n">
        <v>48</v>
      </c>
      <c r="O120" s="5" t="n">
        <v>7.47</v>
      </c>
      <c r="P120" s="6" t="n">
        <v>0.15</v>
      </c>
      <c r="Q120" s="5" t="n">
        <f aca="false">N120*O120*(1-P120)</f>
        <v>304.776</v>
      </c>
      <c r="R120" s="5" t="n">
        <v>208.55</v>
      </c>
      <c r="S120" s="6" t="n">
        <f aca="false">IFERROR((Q120-R120)/Q120,0)</f>
        <v>0.315726960128094</v>
      </c>
    </row>
    <row r="121" customFormat="false" ht="15" hidden="false" customHeight="false" outlineLevel="0" collapsed="false">
      <c r="A121" s="2" t="n">
        <v>45416</v>
      </c>
      <c r="B121" s="3" t="s">
        <v>237</v>
      </c>
      <c r="C121" s="3" t="s">
        <v>234</v>
      </c>
      <c r="D121" s="3" t="s">
        <v>235</v>
      </c>
      <c r="E121" s="3" t="s">
        <v>236</v>
      </c>
      <c r="F121" s="3" t="s">
        <v>23</v>
      </c>
      <c r="G121" s="3" t="s">
        <v>24</v>
      </c>
      <c r="H121" s="3" t="s">
        <v>119</v>
      </c>
      <c r="I121" s="3" t="s">
        <v>120</v>
      </c>
      <c r="J121" s="3" t="s">
        <v>89</v>
      </c>
      <c r="K121" s="3" t="s">
        <v>121</v>
      </c>
      <c r="L121" s="3" t="s">
        <v>29</v>
      </c>
      <c r="M121" s="3" t="s">
        <v>23</v>
      </c>
      <c r="N121" s="4" t="n">
        <v>6</v>
      </c>
      <c r="O121" s="5" t="n">
        <v>11.97</v>
      </c>
      <c r="P121" s="6" t="n">
        <v>0</v>
      </c>
      <c r="Q121" s="5" t="n">
        <f aca="false">N121*O121*(1-P121)</f>
        <v>71.82</v>
      </c>
      <c r="R121" s="5" t="n">
        <v>40.36</v>
      </c>
      <c r="S121" s="6" t="n">
        <f aca="false">IFERROR((Q121-R121)/Q121,0)</f>
        <v>0.438039543302701</v>
      </c>
    </row>
    <row r="122" customFormat="false" ht="15" hidden="false" customHeight="false" outlineLevel="0" collapsed="false">
      <c r="A122" s="2" t="n">
        <v>45416</v>
      </c>
      <c r="B122" s="3" t="s">
        <v>237</v>
      </c>
      <c r="C122" s="3" t="s">
        <v>234</v>
      </c>
      <c r="D122" s="3" t="s">
        <v>235</v>
      </c>
      <c r="E122" s="3" t="s">
        <v>236</v>
      </c>
      <c r="F122" s="3" t="s">
        <v>23</v>
      </c>
      <c r="G122" s="3" t="s">
        <v>24</v>
      </c>
      <c r="H122" s="3" t="s">
        <v>164</v>
      </c>
      <c r="I122" s="3" t="s">
        <v>165</v>
      </c>
      <c r="J122" s="3" t="s">
        <v>32</v>
      </c>
      <c r="K122" s="3" t="s">
        <v>60</v>
      </c>
      <c r="L122" s="3" t="s">
        <v>29</v>
      </c>
      <c r="M122" s="3" t="s">
        <v>23</v>
      </c>
      <c r="N122" s="4" t="n">
        <v>6</v>
      </c>
      <c r="O122" s="5" t="n">
        <v>15.55</v>
      </c>
      <c r="P122" s="6" t="n">
        <v>0</v>
      </c>
      <c r="Q122" s="5" t="n">
        <f aca="false">N122*O122*(1-P122)</f>
        <v>93.3</v>
      </c>
      <c r="R122" s="5" t="n">
        <v>53.35</v>
      </c>
      <c r="S122" s="6" t="n">
        <f aca="false">IFERROR((Q122-R122)/Q122,0)</f>
        <v>0.428188638799571</v>
      </c>
    </row>
    <row r="123" customFormat="false" ht="15" hidden="false" customHeight="false" outlineLevel="0" collapsed="false">
      <c r="A123" s="2" t="n">
        <v>45416</v>
      </c>
      <c r="B123" s="3" t="s">
        <v>237</v>
      </c>
      <c r="C123" s="3" t="s">
        <v>234</v>
      </c>
      <c r="D123" s="3" t="s">
        <v>235</v>
      </c>
      <c r="E123" s="3" t="s">
        <v>236</v>
      </c>
      <c r="F123" s="3" t="s">
        <v>23</v>
      </c>
      <c r="G123" s="3" t="s">
        <v>24</v>
      </c>
      <c r="H123" s="3" t="s">
        <v>96</v>
      </c>
      <c r="I123" s="3" t="s">
        <v>97</v>
      </c>
      <c r="J123" s="3" t="s">
        <v>48</v>
      </c>
      <c r="K123" s="3" t="s">
        <v>75</v>
      </c>
      <c r="L123" s="3" t="s">
        <v>29</v>
      </c>
      <c r="M123" s="3" t="s">
        <v>23</v>
      </c>
      <c r="N123" s="4" t="n">
        <v>60</v>
      </c>
      <c r="O123" s="5" t="n">
        <v>7.68</v>
      </c>
      <c r="P123" s="6" t="n">
        <v>0.15</v>
      </c>
      <c r="Q123" s="5" t="n">
        <f aca="false">N123*O123*(1-P123)</f>
        <v>391.68</v>
      </c>
      <c r="R123" s="5" t="n">
        <v>299.68</v>
      </c>
      <c r="S123" s="6" t="n">
        <f aca="false">IFERROR((Q123-R123)/Q123,0)</f>
        <v>0.234885620915033</v>
      </c>
    </row>
    <row r="124" customFormat="false" ht="15" hidden="false" customHeight="false" outlineLevel="0" collapsed="false">
      <c r="A124" s="2" t="n">
        <v>45418</v>
      </c>
      <c r="B124" s="3" t="s">
        <v>238</v>
      </c>
      <c r="C124" s="3" t="s">
        <v>35</v>
      </c>
      <c r="D124" s="3" t="s">
        <v>36</v>
      </c>
      <c r="E124" s="3" t="s">
        <v>37</v>
      </c>
      <c r="F124" s="3" t="s">
        <v>38</v>
      </c>
      <c r="G124" s="3" t="s">
        <v>39</v>
      </c>
      <c r="H124" s="3" t="s">
        <v>65</v>
      </c>
      <c r="I124" s="3" t="s">
        <v>66</v>
      </c>
      <c r="J124" s="3" t="s">
        <v>67</v>
      </c>
      <c r="K124" s="3" t="s">
        <v>68</v>
      </c>
      <c r="L124" s="3" t="s">
        <v>40</v>
      </c>
      <c r="M124" s="3" t="s">
        <v>38</v>
      </c>
      <c r="N124" s="4" t="n">
        <v>6</v>
      </c>
      <c r="O124" s="5" t="n">
        <v>29.7</v>
      </c>
      <c r="P124" s="6" t="n">
        <v>0</v>
      </c>
      <c r="Q124" s="5" t="n">
        <f aca="false">N124*O124*(1-P124)</f>
        <v>178.2</v>
      </c>
      <c r="R124" s="5" t="n">
        <v>103.51</v>
      </c>
      <c r="S124" s="6" t="n">
        <f aca="false">IFERROR((Q124-R124)/Q124,0)</f>
        <v>0.419135802469136</v>
      </c>
    </row>
    <row r="125" customFormat="false" ht="15" hidden="false" customHeight="false" outlineLevel="0" collapsed="false">
      <c r="A125" s="2" t="n">
        <v>45418</v>
      </c>
      <c r="B125" s="3" t="s">
        <v>238</v>
      </c>
      <c r="C125" s="3" t="s">
        <v>35</v>
      </c>
      <c r="D125" s="3" t="s">
        <v>36</v>
      </c>
      <c r="E125" s="3" t="s">
        <v>37</v>
      </c>
      <c r="F125" s="3" t="s">
        <v>38</v>
      </c>
      <c r="G125" s="3" t="s">
        <v>39</v>
      </c>
      <c r="H125" s="3" t="s">
        <v>87</v>
      </c>
      <c r="I125" s="3" t="s">
        <v>88</v>
      </c>
      <c r="J125" s="3" t="s">
        <v>89</v>
      </c>
      <c r="K125" s="3" t="s">
        <v>90</v>
      </c>
      <c r="L125" s="3" t="s">
        <v>40</v>
      </c>
      <c r="M125" s="3" t="s">
        <v>38</v>
      </c>
      <c r="N125" s="4" t="n">
        <v>96</v>
      </c>
      <c r="O125" s="5" t="n">
        <v>16.12</v>
      </c>
      <c r="P125" s="6" t="n">
        <v>0</v>
      </c>
      <c r="Q125" s="5" t="n">
        <f aca="false">N125*O125*(1-P125)</f>
        <v>1547.52</v>
      </c>
      <c r="R125" s="5" t="n">
        <v>957.04</v>
      </c>
      <c r="S125" s="6" t="n">
        <f aca="false">IFERROR((Q125-R125)/Q125,0)</f>
        <v>0.381565343258892</v>
      </c>
    </row>
    <row r="126" customFormat="false" ht="15" hidden="false" customHeight="false" outlineLevel="0" collapsed="false">
      <c r="A126" s="2" t="n">
        <v>45428</v>
      </c>
      <c r="B126" s="3" t="s">
        <v>239</v>
      </c>
      <c r="C126" s="3" t="s">
        <v>35</v>
      </c>
      <c r="D126" s="3" t="s">
        <v>36</v>
      </c>
      <c r="E126" s="3" t="s">
        <v>37</v>
      </c>
      <c r="F126" s="3" t="s">
        <v>38</v>
      </c>
      <c r="G126" s="3" t="s">
        <v>39</v>
      </c>
      <c r="H126" s="3" t="s">
        <v>126</v>
      </c>
      <c r="I126" s="3" t="s">
        <v>127</v>
      </c>
      <c r="J126" s="3" t="s">
        <v>67</v>
      </c>
      <c r="K126" s="3" t="s">
        <v>128</v>
      </c>
      <c r="L126" s="3" t="s">
        <v>40</v>
      </c>
      <c r="M126" s="3" t="s">
        <v>38</v>
      </c>
      <c r="N126" s="4" t="n">
        <v>60</v>
      </c>
      <c r="O126" s="5" t="n">
        <v>6.96</v>
      </c>
      <c r="P126" s="6" t="n">
        <v>0.05</v>
      </c>
      <c r="Q126" s="5" t="n">
        <f aca="false">N126*O126*(1-P126)</f>
        <v>396.72</v>
      </c>
      <c r="R126" s="5" t="n">
        <v>225.7</v>
      </c>
      <c r="S126" s="6" t="n">
        <f aca="false">IFERROR((Q126-R126)/Q126,0)</f>
        <v>0.431084896148417</v>
      </c>
    </row>
    <row r="127" customFormat="false" ht="15" hidden="false" customHeight="false" outlineLevel="0" collapsed="false">
      <c r="A127" s="2" t="n">
        <v>45428</v>
      </c>
      <c r="B127" s="3" t="s">
        <v>239</v>
      </c>
      <c r="C127" s="3" t="s">
        <v>35</v>
      </c>
      <c r="D127" s="3" t="s">
        <v>36</v>
      </c>
      <c r="E127" s="3" t="s">
        <v>37</v>
      </c>
      <c r="F127" s="3" t="s">
        <v>38</v>
      </c>
      <c r="G127" s="3" t="s">
        <v>39</v>
      </c>
      <c r="H127" s="3" t="s">
        <v>182</v>
      </c>
      <c r="I127" s="3" t="s">
        <v>183</v>
      </c>
      <c r="J127" s="3" t="s">
        <v>67</v>
      </c>
      <c r="K127" s="3" t="s">
        <v>184</v>
      </c>
      <c r="L127" s="3" t="s">
        <v>40</v>
      </c>
      <c r="M127" s="3" t="s">
        <v>38</v>
      </c>
      <c r="N127" s="4" t="n">
        <v>24</v>
      </c>
      <c r="O127" s="5" t="n">
        <v>13.13</v>
      </c>
      <c r="P127" s="6" t="n">
        <v>0.05</v>
      </c>
      <c r="Q127" s="5" t="n">
        <f aca="false">N127*O127*(1-P127)</f>
        <v>299.364</v>
      </c>
      <c r="R127" s="5" t="n">
        <v>184.88</v>
      </c>
      <c r="S127" s="6" t="n">
        <f aca="false">IFERROR((Q127-R127)/Q127,0)</f>
        <v>0.382424072366751</v>
      </c>
    </row>
    <row r="128" customFormat="false" ht="15" hidden="false" customHeight="false" outlineLevel="0" collapsed="false">
      <c r="A128" s="2" t="n">
        <v>45428</v>
      </c>
      <c r="B128" s="3" t="s">
        <v>239</v>
      </c>
      <c r="C128" s="3" t="s">
        <v>35</v>
      </c>
      <c r="D128" s="3" t="s">
        <v>36</v>
      </c>
      <c r="E128" s="3" t="s">
        <v>37</v>
      </c>
      <c r="F128" s="3" t="s">
        <v>38</v>
      </c>
      <c r="G128" s="3" t="s">
        <v>39</v>
      </c>
      <c r="H128" s="3" t="s">
        <v>171</v>
      </c>
      <c r="I128" s="3" t="s">
        <v>172</v>
      </c>
      <c r="J128" s="3" t="s">
        <v>27</v>
      </c>
      <c r="K128" s="3" t="s">
        <v>140</v>
      </c>
      <c r="L128" s="3" t="s">
        <v>40</v>
      </c>
      <c r="M128" s="3" t="s">
        <v>38</v>
      </c>
      <c r="N128" s="4" t="n">
        <v>120</v>
      </c>
      <c r="O128" s="5" t="n">
        <v>4.2</v>
      </c>
      <c r="P128" s="6" t="n">
        <v>0</v>
      </c>
      <c r="Q128" s="5" t="n">
        <f aca="false">N128*O128*(1-P128)</f>
        <v>504</v>
      </c>
      <c r="R128" s="5" t="n">
        <v>299.97</v>
      </c>
      <c r="S128" s="6" t="n">
        <f aca="false">IFERROR((Q128-R128)/Q128,0)</f>
        <v>0.404821428571429</v>
      </c>
    </row>
    <row r="129" customFormat="false" ht="15" hidden="false" customHeight="false" outlineLevel="0" collapsed="false">
      <c r="A129" s="2" t="n">
        <v>45428</v>
      </c>
      <c r="B129" s="3" t="s">
        <v>239</v>
      </c>
      <c r="C129" s="3" t="s">
        <v>35</v>
      </c>
      <c r="D129" s="3" t="s">
        <v>36</v>
      </c>
      <c r="E129" s="3" t="s">
        <v>37</v>
      </c>
      <c r="F129" s="3" t="s">
        <v>38</v>
      </c>
      <c r="G129" s="3" t="s">
        <v>39</v>
      </c>
      <c r="H129" s="3" t="s">
        <v>158</v>
      </c>
      <c r="I129" s="3" t="s">
        <v>159</v>
      </c>
      <c r="J129" s="3" t="s">
        <v>27</v>
      </c>
      <c r="K129" s="3" t="s">
        <v>149</v>
      </c>
      <c r="L129" s="3" t="s">
        <v>40</v>
      </c>
      <c r="M129" s="3" t="s">
        <v>38</v>
      </c>
      <c r="N129" s="4" t="n">
        <v>96</v>
      </c>
      <c r="O129" s="5" t="n">
        <v>7.21</v>
      </c>
      <c r="P129" s="6" t="n">
        <v>0</v>
      </c>
      <c r="Q129" s="5" t="n">
        <f aca="false">N129*O129*(1-P129)</f>
        <v>692.16</v>
      </c>
      <c r="R129" s="5" t="n">
        <v>427.08</v>
      </c>
      <c r="S129" s="6" t="n">
        <f aca="false">IFERROR((Q129-R129)/Q129,0)</f>
        <v>0.382975034674064</v>
      </c>
    </row>
    <row r="130" customFormat="false" ht="15" hidden="false" customHeight="false" outlineLevel="0" collapsed="false">
      <c r="A130" s="2" t="n">
        <v>45431</v>
      </c>
      <c r="B130" s="3" t="s">
        <v>240</v>
      </c>
      <c r="C130" s="3" t="s">
        <v>234</v>
      </c>
      <c r="D130" s="3" t="s">
        <v>235</v>
      </c>
      <c r="E130" s="3" t="s">
        <v>236</v>
      </c>
      <c r="F130" s="3" t="s">
        <v>23</v>
      </c>
      <c r="G130" s="3" t="s">
        <v>24</v>
      </c>
      <c r="H130" s="3" t="s">
        <v>145</v>
      </c>
      <c r="I130" s="3" t="s">
        <v>146</v>
      </c>
      <c r="J130" s="3" t="s">
        <v>32</v>
      </c>
      <c r="K130" s="3" t="s">
        <v>33</v>
      </c>
      <c r="L130" s="3" t="s">
        <v>29</v>
      </c>
      <c r="M130" s="3" t="s">
        <v>23</v>
      </c>
      <c r="N130" s="4" t="n">
        <v>96</v>
      </c>
      <c r="O130" s="5" t="n">
        <v>19.61</v>
      </c>
      <c r="P130" s="6" t="n">
        <v>0</v>
      </c>
      <c r="Q130" s="5" t="n">
        <f aca="false">N130*O130*(1-P130)</f>
        <v>1882.56</v>
      </c>
      <c r="R130" s="5" t="n">
        <v>1083.06</v>
      </c>
      <c r="S130" s="6" t="n">
        <f aca="false">IFERROR((Q130-R130)/Q130,0)</f>
        <v>0.424687659357471</v>
      </c>
    </row>
    <row r="131" customFormat="false" ht="15" hidden="false" customHeight="false" outlineLevel="0" collapsed="false">
      <c r="A131" s="2" t="n">
        <v>45431</v>
      </c>
      <c r="B131" s="3" t="s">
        <v>240</v>
      </c>
      <c r="C131" s="3" t="s">
        <v>234</v>
      </c>
      <c r="D131" s="3" t="s">
        <v>235</v>
      </c>
      <c r="E131" s="3" t="s">
        <v>236</v>
      </c>
      <c r="F131" s="3" t="s">
        <v>23</v>
      </c>
      <c r="G131" s="3" t="s">
        <v>24</v>
      </c>
      <c r="H131" s="3" t="s">
        <v>138</v>
      </c>
      <c r="I131" s="3" t="s">
        <v>139</v>
      </c>
      <c r="J131" s="3" t="s">
        <v>27</v>
      </c>
      <c r="K131" s="3" t="s">
        <v>140</v>
      </c>
      <c r="L131" s="3" t="s">
        <v>29</v>
      </c>
      <c r="M131" s="3" t="s">
        <v>23</v>
      </c>
      <c r="N131" s="4" t="n">
        <v>6</v>
      </c>
      <c r="O131" s="5" t="n">
        <v>4.1</v>
      </c>
      <c r="P131" s="6" t="n">
        <v>0</v>
      </c>
      <c r="Q131" s="5" t="n">
        <f aca="false">N131*O131*(1-P131)</f>
        <v>24.6</v>
      </c>
      <c r="R131" s="5" t="n">
        <v>13.84</v>
      </c>
      <c r="S131" s="6" t="n">
        <f aca="false">IFERROR((Q131-R131)/Q131,0)</f>
        <v>0.43739837398374</v>
      </c>
    </row>
    <row r="132" customFormat="false" ht="15" hidden="false" customHeight="false" outlineLevel="0" collapsed="false">
      <c r="A132" s="2" t="n">
        <v>45431</v>
      </c>
      <c r="B132" s="3" t="s">
        <v>240</v>
      </c>
      <c r="C132" s="3" t="s">
        <v>234</v>
      </c>
      <c r="D132" s="3" t="s">
        <v>235</v>
      </c>
      <c r="E132" s="3" t="s">
        <v>236</v>
      </c>
      <c r="F132" s="3" t="s">
        <v>23</v>
      </c>
      <c r="G132" s="3" t="s">
        <v>24</v>
      </c>
      <c r="H132" s="3" t="s">
        <v>54</v>
      </c>
      <c r="I132" s="3" t="s">
        <v>55</v>
      </c>
      <c r="J132" s="3" t="s">
        <v>56</v>
      </c>
      <c r="K132" s="3" t="s">
        <v>57</v>
      </c>
      <c r="L132" s="3" t="s">
        <v>29</v>
      </c>
      <c r="M132" s="3" t="s">
        <v>23</v>
      </c>
      <c r="N132" s="4" t="n">
        <v>24</v>
      </c>
      <c r="O132" s="5" t="n">
        <v>4.78</v>
      </c>
      <c r="P132" s="6" t="n">
        <v>0.1</v>
      </c>
      <c r="Q132" s="5" t="n">
        <f aca="false">N132*O132*(1-P132)</f>
        <v>103.248</v>
      </c>
      <c r="R132" s="5" t="n">
        <v>70.76</v>
      </c>
      <c r="S132" s="6" t="n">
        <f aca="false">IFERROR((Q132-R132)/Q132,0)</f>
        <v>0.314659848132651</v>
      </c>
    </row>
    <row r="133" customFormat="false" ht="15" hidden="false" customHeight="false" outlineLevel="0" collapsed="false">
      <c r="A133" s="2" t="n">
        <v>45431</v>
      </c>
      <c r="B133" s="3" t="s">
        <v>240</v>
      </c>
      <c r="C133" s="3" t="s">
        <v>234</v>
      </c>
      <c r="D133" s="3" t="s">
        <v>235</v>
      </c>
      <c r="E133" s="3" t="s">
        <v>236</v>
      </c>
      <c r="F133" s="3" t="s">
        <v>23</v>
      </c>
      <c r="G133" s="3" t="s">
        <v>24</v>
      </c>
      <c r="H133" s="3" t="s">
        <v>158</v>
      </c>
      <c r="I133" s="3" t="s">
        <v>159</v>
      </c>
      <c r="J133" s="3" t="s">
        <v>27</v>
      </c>
      <c r="K133" s="3" t="s">
        <v>149</v>
      </c>
      <c r="L133" s="3" t="s">
        <v>29</v>
      </c>
      <c r="M133" s="3" t="s">
        <v>23</v>
      </c>
      <c r="N133" s="4" t="n">
        <v>96</v>
      </c>
      <c r="O133" s="5" t="n">
        <v>7.36</v>
      </c>
      <c r="P133" s="6" t="n">
        <v>0.1</v>
      </c>
      <c r="Q133" s="5" t="n">
        <f aca="false">N133*O133*(1-P133)</f>
        <v>635.904</v>
      </c>
      <c r="R133" s="5" t="n">
        <v>440.11</v>
      </c>
      <c r="S133" s="6" t="n">
        <f aca="false">IFERROR((Q133-R133)/Q133,0)</f>
        <v>0.307898676529791</v>
      </c>
    </row>
    <row r="134" customFormat="false" ht="15" hidden="false" customHeight="false" outlineLevel="0" collapsed="false">
      <c r="A134" s="2" t="n">
        <v>45433</v>
      </c>
      <c r="B134" s="3" t="s">
        <v>241</v>
      </c>
      <c r="C134" s="3" t="s">
        <v>161</v>
      </c>
      <c r="D134" s="3" t="s">
        <v>162</v>
      </c>
      <c r="E134" s="3" t="s">
        <v>163</v>
      </c>
      <c r="F134" s="3" t="s">
        <v>38</v>
      </c>
      <c r="G134" s="3" t="s">
        <v>24</v>
      </c>
      <c r="H134" s="3" t="s">
        <v>173</v>
      </c>
      <c r="I134" s="3" t="s">
        <v>174</v>
      </c>
      <c r="J134" s="3" t="s">
        <v>27</v>
      </c>
      <c r="K134" s="3" t="s">
        <v>175</v>
      </c>
      <c r="L134" s="3" t="s">
        <v>40</v>
      </c>
      <c r="M134" s="3" t="s">
        <v>38</v>
      </c>
      <c r="N134" s="4" t="n">
        <v>60</v>
      </c>
      <c r="O134" s="5" t="n">
        <v>16.91</v>
      </c>
      <c r="P134" s="6" t="n">
        <v>0.15</v>
      </c>
      <c r="Q134" s="5" t="n">
        <f aca="false">N134*O134*(1-P134)</f>
        <v>862.41</v>
      </c>
      <c r="R134" s="5" t="n">
        <v>667.01</v>
      </c>
      <c r="S134" s="6" t="n">
        <f aca="false">IFERROR((Q134-R134)/Q134,0)</f>
        <v>0.226574367180343</v>
      </c>
    </row>
    <row r="135" customFormat="false" ht="15" hidden="false" customHeight="false" outlineLevel="0" collapsed="false">
      <c r="A135" s="2" t="n">
        <v>45433</v>
      </c>
      <c r="B135" s="3" t="s">
        <v>241</v>
      </c>
      <c r="C135" s="3" t="s">
        <v>161</v>
      </c>
      <c r="D135" s="3" t="s">
        <v>162</v>
      </c>
      <c r="E135" s="3" t="s">
        <v>163</v>
      </c>
      <c r="F135" s="3" t="s">
        <v>38</v>
      </c>
      <c r="G135" s="3" t="s">
        <v>24</v>
      </c>
      <c r="H135" s="3" t="s">
        <v>65</v>
      </c>
      <c r="I135" s="3" t="s">
        <v>66</v>
      </c>
      <c r="J135" s="3" t="s">
        <v>67</v>
      </c>
      <c r="K135" s="3" t="s">
        <v>68</v>
      </c>
      <c r="L135" s="3" t="s">
        <v>40</v>
      </c>
      <c r="M135" s="3" t="s">
        <v>38</v>
      </c>
      <c r="N135" s="4" t="n">
        <v>96</v>
      </c>
      <c r="O135" s="5" t="n">
        <v>29.23</v>
      </c>
      <c r="P135" s="6" t="n">
        <v>0</v>
      </c>
      <c r="Q135" s="5" t="n">
        <f aca="false">N135*O135*(1-P135)</f>
        <v>2806.08</v>
      </c>
      <c r="R135" s="5" t="n">
        <v>1665.82</v>
      </c>
      <c r="S135" s="6" t="n">
        <f aca="false">IFERROR((Q135-R135)/Q135,0)</f>
        <v>0.406353347017904</v>
      </c>
    </row>
    <row r="136" customFormat="false" ht="15" hidden="false" customHeight="false" outlineLevel="0" collapsed="false">
      <c r="A136" s="2" t="n">
        <v>45433</v>
      </c>
      <c r="B136" s="3" t="s">
        <v>241</v>
      </c>
      <c r="C136" s="3" t="s">
        <v>161</v>
      </c>
      <c r="D136" s="3" t="s">
        <v>162</v>
      </c>
      <c r="E136" s="3" t="s">
        <v>163</v>
      </c>
      <c r="F136" s="3" t="s">
        <v>38</v>
      </c>
      <c r="G136" s="3" t="s">
        <v>24</v>
      </c>
      <c r="H136" s="3" t="s">
        <v>84</v>
      </c>
      <c r="I136" s="3" t="s">
        <v>85</v>
      </c>
      <c r="J136" s="3" t="s">
        <v>56</v>
      </c>
      <c r="K136" s="3" t="s">
        <v>86</v>
      </c>
      <c r="L136" s="3" t="s">
        <v>40</v>
      </c>
      <c r="M136" s="3" t="s">
        <v>38</v>
      </c>
      <c r="N136" s="4" t="n">
        <v>60</v>
      </c>
      <c r="O136" s="5" t="n">
        <v>5</v>
      </c>
      <c r="P136" s="6" t="n">
        <v>0.05</v>
      </c>
      <c r="Q136" s="5" t="n">
        <f aca="false">N136*O136*(1-P136)</f>
        <v>285</v>
      </c>
      <c r="R136" s="5" t="n">
        <v>185.29</v>
      </c>
      <c r="S136" s="6" t="n">
        <f aca="false">IFERROR((Q136-R136)/Q136,0)</f>
        <v>0.349859649122807</v>
      </c>
    </row>
    <row r="137" customFormat="false" ht="15" hidden="false" customHeight="false" outlineLevel="0" collapsed="false">
      <c r="A137" s="2" t="n">
        <v>45436</v>
      </c>
      <c r="B137" s="3" t="s">
        <v>242</v>
      </c>
      <c r="C137" s="3" t="s">
        <v>201</v>
      </c>
      <c r="D137" s="3" t="s">
        <v>202</v>
      </c>
      <c r="E137" s="3" t="s">
        <v>203</v>
      </c>
      <c r="F137" s="3" t="s">
        <v>170</v>
      </c>
      <c r="G137" s="3" t="s">
        <v>24</v>
      </c>
      <c r="H137" s="3" t="s">
        <v>30</v>
      </c>
      <c r="I137" s="3" t="s">
        <v>31</v>
      </c>
      <c r="J137" s="3" t="s">
        <v>32</v>
      </c>
      <c r="K137" s="3" t="s">
        <v>33</v>
      </c>
      <c r="L137" s="3" t="s">
        <v>106</v>
      </c>
      <c r="M137" s="3" t="s">
        <v>107</v>
      </c>
      <c r="N137" s="4" t="n">
        <v>6</v>
      </c>
      <c r="O137" s="5" t="n">
        <v>25.63</v>
      </c>
      <c r="P137" s="6" t="n">
        <v>0.05</v>
      </c>
      <c r="Q137" s="5" t="n">
        <f aca="false">N137*O137*(1-P137)</f>
        <v>146.091</v>
      </c>
      <c r="R137" s="5" t="n">
        <v>88.44</v>
      </c>
      <c r="S137" s="6" t="n">
        <f aca="false">IFERROR((Q137-R137)/Q137,0)</f>
        <v>0.394623898802801</v>
      </c>
    </row>
    <row r="138" customFormat="false" ht="15" hidden="false" customHeight="false" outlineLevel="0" collapsed="false">
      <c r="A138" s="2" t="n">
        <v>45436</v>
      </c>
      <c r="B138" s="3" t="s">
        <v>242</v>
      </c>
      <c r="C138" s="3" t="s">
        <v>201</v>
      </c>
      <c r="D138" s="3" t="s">
        <v>202</v>
      </c>
      <c r="E138" s="3" t="s">
        <v>203</v>
      </c>
      <c r="F138" s="3" t="s">
        <v>170</v>
      </c>
      <c r="G138" s="3" t="s">
        <v>24</v>
      </c>
      <c r="H138" s="3" t="s">
        <v>96</v>
      </c>
      <c r="I138" s="3" t="s">
        <v>97</v>
      </c>
      <c r="J138" s="3" t="s">
        <v>48</v>
      </c>
      <c r="K138" s="3" t="s">
        <v>75</v>
      </c>
      <c r="L138" s="3" t="s">
        <v>106</v>
      </c>
      <c r="M138" s="3" t="s">
        <v>107</v>
      </c>
      <c r="N138" s="4" t="n">
        <v>96</v>
      </c>
      <c r="O138" s="5" t="n">
        <v>7.92</v>
      </c>
      <c r="P138" s="6" t="n">
        <v>0</v>
      </c>
      <c r="Q138" s="5" t="n">
        <f aca="false">N138*O138*(1-P138)</f>
        <v>760.32</v>
      </c>
      <c r="R138" s="5" t="n">
        <v>467.26</v>
      </c>
      <c r="S138" s="6" t="n">
        <f aca="false">IFERROR((Q138-R138)/Q138,0)</f>
        <v>0.385442971380471</v>
      </c>
    </row>
    <row r="139" customFormat="false" ht="15" hidden="false" customHeight="false" outlineLevel="0" collapsed="false">
      <c r="A139" s="2" t="n">
        <v>45436</v>
      </c>
      <c r="B139" s="3" t="s">
        <v>242</v>
      </c>
      <c r="C139" s="3" t="s">
        <v>201</v>
      </c>
      <c r="D139" s="3" t="s">
        <v>202</v>
      </c>
      <c r="E139" s="3" t="s">
        <v>203</v>
      </c>
      <c r="F139" s="3" t="s">
        <v>170</v>
      </c>
      <c r="G139" s="3" t="s">
        <v>24</v>
      </c>
      <c r="H139" s="3" t="s">
        <v>46</v>
      </c>
      <c r="I139" s="3" t="s">
        <v>47</v>
      </c>
      <c r="J139" s="3" t="s">
        <v>48</v>
      </c>
      <c r="K139" s="3" t="s">
        <v>49</v>
      </c>
      <c r="L139" s="3" t="s">
        <v>106</v>
      </c>
      <c r="M139" s="3" t="s">
        <v>107</v>
      </c>
      <c r="N139" s="4" t="n">
        <v>24</v>
      </c>
      <c r="O139" s="5" t="n">
        <v>16.53</v>
      </c>
      <c r="P139" s="6" t="n">
        <v>0</v>
      </c>
      <c r="Q139" s="5" t="n">
        <f aca="false">N139*O139*(1-P139)</f>
        <v>396.72</v>
      </c>
      <c r="R139" s="5" t="n">
        <v>229.82</v>
      </c>
      <c r="S139" s="6" t="n">
        <f aca="false">IFERROR((Q139-R139)/Q139,0)</f>
        <v>0.420699737850373</v>
      </c>
    </row>
    <row r="140" customFormat="false" ht="15" hidden="false" customHeight="false" outlineLevel="0" collapsed="false">
      <c r="A140" s="2" t="n">
        <v>45436</v>
      </c>
      <c r="B140" s="3" t="s">
        <v>242</v>
      </c>
      <c r="C140" s="3" t="s">
        <v>201</v>
      </c>
      <c r="D140" s="3" t="s">
        <v>202</v>
      </c>
      <c r="E140" s="3" t="s">
        <v>203</v>
      </c>
      <c r="F140" s="3" t="s">
        <v>170</v>
      </c>
      <c r="G140" s="3" t="s">
        <v>24</v>
      </c>
      <c r="H140" s="3" t="s">
        <v>132</v>
      </c>
      <c r="I140" s="3" t="s">
        <v>133</v>
      </c>
      <c r="J140" s="3" t="s">
        <v>27</v>
      </c>
      <c r="K140" s="3" t="s">
        <v>28</v>
      </c>
      <c r="L140" s="3" t="s">
        <v>106</v>
      </c>
      <c r="M140" s="3" t="s">
        <v>107</v>
      </c>
      <c r="N140" s="4" t="n">
        <v>96</v>
      </c>
      <c r="O140" s="5" t="n">
        <v>12.7</v>
      </c>
      <c r="P140" s="6" t="n">
        <v>0</v>
      </c>
      <c r="Q140" s="5" t="n">
        <f aca="false">N140*O140*(1-P140)</f>
        <v>1219.2</v>
      </c>
      <c r="R140" s="5" t="n">
        <v>781.2</v>
      </c>
      <c r="S140" s="6" t="n">
        <f aca="false">IFERROR((Q140-R140)/Q140,0)</f>
        <v>0.359251968503937</v>
      </c>
    </row>
    <row r="141" customFormat="false" ht="15" hidden="false" customHeight="false" outlineLevel="0" collapsed="false">
      <c r="A141" s="2" t="n">
        <v>45439</v>
      </c>
      <c r="B141" s="3" t="s">
        <v>243</v>
      </c>
      <c r="C141" s="3" t="s">
        <v>77</v>
      </c>
      <c r="D141" s="3" t="s">
        <v>78</v>
      </c>
      <c r="E141" s="3" t="s">
        <v>79</v>
      </c>
      <c r="F141" s="3" t="s">
        <v>45</v>
      </c>
      <c r="G141" s="3" t="s">
        <v>80</v>
      </c>
      <c r="H141" s="3" t="s">
        <v>73</v>
      </c>
      <c r="I141" s="3" t="s">
        <v>74</v>
      </c>
      <c r="J141" s="3" t="s">
        <v>48</v>
      </c>
      <c r="K141" s="3" t="s">
        <v>75</v>
      </c>
      <c r="L141" s="3" t="s">
        <v>50</v>
      </c>
      <c r="M141" s="3" t="s">
        <v>45</v>
      </c>
      <c r="N141" s="4" t="n">
        <v>6</v>
      </c>
      <c r="O141" s="5" t="n">
        <v>8.53</v>
      </c>
      <c r="P141" s="6" t="n">
        <v>0.1</v>
      </c>
      <c r="Q141" s="5" t="n">
        <f aca="false">N141*O141*(1-P141)</f>
        <v>46.062</v>
      </c>
      <c r="R141" s="5" t="n">
        <v>31.83</v>
      </c>
      <c r="S141" s="6" t="n">
        <f aca="false">IFERROR((Q141-R141)/Q141,0)</f>
        <v>0.308974859971343</v>
      </c>
    </row>
    <row r="142" customFormat="false" ht="15" hidden="false" customHeight="false" outlineLevel="0" collapsed="false">
      <c r="A142" s="2" t="n">
        <v>45439</v>
      </c>
      <c r="B142" s="3" t="s">
        <v>243</v>
      </c>
      <c r="C142" s="3" t="s">
        <v>77</v>
      </c>
      <c r="D142" s="3" t="s">
        <v>78</v>
      </c>
      <c r="E142" s="3" t="s">
        <v>79</v>
      </c>
      <c r="F142" s="3" t="s">
        <v>45</v>
      </c>
      <c r="G142" s="3" t="s">
        <v>80</v>
      </c>
      <c r="H142" s="3" t="s">
        <v>171</v>
      </c>
      <c r="I142" s="3" t="s">
        <v>172</v>
      </c>
      <c r="J142" s="3" t="s">
        <v>27</v>
      </c>
      <c r="K142" s="3" t="s">
        <v>140</v>
      </c>
      <c r="L142" s="3" t="s">
        <v>50</v>
      </c>
      <c r="M142" s="3" t="s">
        <v>45</v>
      </c>
      <c r="N142" s="4" t="n">
        <v>120</v>
      </c>
      <c r="O142" s="5" t="n">
        <v>4.27</v>
      </c>
      <c r="P142" s="6" t="n">
        <v>0</v>
      </c>
      <c r="Q142" s="5" t="n">
        <f aca="false">N142*O142*(1-P142)</f>
        <v>512.4</v>
      </c>
      <c r="R142" s="5" t="n">
        <v>301.58</v>
      </c>
      <c r="S142" s="6" t="n">
        <f aca="false">IFERROR((Q142-R142)/Q142,0)</f>
        <v>0.41143637782982</v>
      </c>
    </row>
    <row r="143" customFormat="false" ht="15" hidden="false" customHeight="false" outlineLevel="0" collapsed="false">
      <c r="A143" s="2" t="n">
        <v>45443</v>
      </c>
      <c r="B143" s="3" t="s">
        <v>244</v>
      </c>
      <c r="C143" s="3" t="s">
        <v>116</v>
      </c>
      <c r="D143" s="3" t="s">
        <v>117</v>
      </c>
      <c r="E143" s="3" t="s">
        <v>118</v>
      </c>
      <c r="F143" s="3" t="s">
        <v>45</v>
      </c>
      <c r="G143" s="3" t="s">
        <v>39</v>
      </c>
      <c r="H143" s="3" t="s">
        <v>112</v>
      </c>
      <c r="I143" s="3" t="s">
        <v>113</v>
      </c>
      <c r="J143" s="3" t="s">
        <v>67</v>
      </c>
      <c r="K143" s="3" t="s">
        <v>114</v>
      </c>
      <c r="L143" s="3" t="s">
        <v>50</v>
      </c>
      <c r="M143" s="3" t="s">
        <v>45</v>
      </c>
      <c r="N143" s="4" t="n">
        <v>96</v>
      </c>
      <c r="O143" s="5" t="n">
        <v>10.08</v>
      </c>
      <c r="P143" s="6" t="n">
        <v>0</v>
      </c>
      <c r="Q143" s="5" t="n">
        <f aca="false">N143*O143*(1-P143)</f>
        <v>967.68</v>
      </c>
      <c r="R143" s="5" t="n">
        <v>569.02</v>
      </c>
      <c r="S143" s="6" t="n">
        <f aca="false">IFERROR((Q143-R143)/Q143,0)</f>
        <v>0.411975033068783</v>
      </c>
    </row>
    <row r="144" customFormat="false" ht="15" hidden="false" customHeight="false" outlineLevel="0" collapsed="false">
      <c r="A144" s="2" t="n">
        <v>45443</v>
      </c>
      <c r="B144" s="3" t="s">
        <v>244</v>
      </c>
      <c r="C144" s="3" t="s">
        <v>116</v>
      </c>
      <c r="D144" s="3" t="s">
        <v>117</v>
      </c>
      <c r="E144" s="3" t="s">
        <v>118</v>
      </c>
      <c r="F144" s="3" t="s">
        <v>45</v>
      </c>
      <c r="G144" s="3" t="s">
        <v>39</v>
      </c>
      <c r="H144" s="3" t="s">
        <v>30</v>
      </c>
      <c r="I144" s="3" t="s">
        <v>31</v>
      </c>
      <c r="J144" s="3" t="s">
        <v>32</v>
      </c>
      <c r="K144" s="3" t="s">
        <v>33</v>
      </c>
      <c r="L144" s="3" t="s">
        <v>50</v>
      </c>
      <c r="M144" s="3" t="s">
        <v>45</v>
      </c>
      <c r="N144" s="4" t="n">
        <v>6</v>
      </c>
      <c r="O144" s="5" t="n">
        <v>23.73</v>
      </c>
      <c r="P144" s="6" t="n">
        <v>0</v>
      </c>
      <c r="Q144" s="5" t="n">
        <f aca="false">N144*O144*(1-P144)</f>
        <v>142.38</v>
      </c>
      <c r="R144" s="5" t="n">
        <v>89.75</v>
      </c>
      <c r="S144" s="6" t="n">
        <f aca="false">IFERROR((Q144-R144)/Q144,0)</f>
        <v>0.369644613007445</v>
      </c>
    </row>
    <row r="145" customFormat="false" ht="15" hidden="false" customHeight="false" outlineLevel="0" collapsed="false">
      <c r="A145" s="2" t="n">
        <v>45454</v>
      </c>
      <c r="B145" s="3" t="s">
        <v>245</v>
      </c>
      <c r="C145" s="3" t="s">
        <v>167</v>
      </c>
      <c r="D145" s="3" t="s">
        <v>168</v>
      </c>
      <c r="E145" s="3" t="s">
        <v>169</v>
      </c>
      <c r="F145" s="3" t="s">
        <v>170</v>
      </c>
      <c r="G145" s="3" t="s">
        <v>39</v>
      </c>
      <c r="H145" s="3" t="s">
        <v>25</v>
      </c>
      <c r="I145" s="3" t="s">
        <v>26</v>
      </c>
      <c r="J145" s="3" t="s">
        <v>27</v>
      </c>
      <c r="K145" s="3" t="s">
        <v>28</v>
      </c>
      <c r="L145" s="3" t="s">
        <v>106</v>
      </c>
      <c r="M145" s="3" t="s">
        <v>107</v>
      </c>
      <c r="N145" s="4" t="n">
        <v>96</v>
      </c>
      <c r="O145" s="5" t="n">
        <v>7.33</v>
      </c>
      <c r="P145" s="6" t="n">
        <v>0</v>
      </c>
      <c r="Q145" s="5" t="n">
        <f aca="false">N145*O145*(1-P145)</f>
        <v>703.68</v>
      </c>
      <c r="R145" s="5" t="n">
        <v>393.53</v>
      </c>
      <c r="S145" s="6" t="n">
        <f aca="false">IFERROR((Q145-R145)/Q145,0)</f>
        <v>0.440754320145521</v>
      </c>
    </row>
    <row r="146" customFormat="false" ht="15" hidden="false" customHeight="false" outlineLevel="0" collapsed="false">
      <c r="A146" s="2" t="n">
        <v>45454</v>
      </c>
      <c r="B146" s="3" t="s">
        <v>245</v>
      </c>
      <c r="C146" s="3" t="s">
        <v>167</v>
      </c>
      <c r="D146" s="3" t="s">
        <v>168</v>
      </c>
      <c r="E146" s="3" t="s">
        <v>169</v>
      </c>
      <c r="F146" s="3" t="s">
        <v>170</v>
      </c>
      <c r="G146" s="3" t="s">
        <v>39</v>
      </c>
      <c r="H146" s="3" t="s">
        <v>98</v>
      </c>
      <c r="I146" s="3" t="s">
        <v>99</v>
      </c>
      <c r="J146" s="3" t="s">
        <v>89</v>
      </c>
      <c r="K146" s="3" t="s">
        <v>100</v>
      </c>
      <c r="L146" s="3" t="s">
        <v>106</v>
      </c>
      <c r="M146" s="3" t="s">
        <v>107</v>
      </c>
      <c r="N146" s="4" t="n">
        <v>72</v>
      </c>
      <c r="O146" s="5" t="n">
        <v>24.15</v>
      </c>
      <c r="P146" s="6" t="n">
        <v>0.1</v>
      </c>
      <c r="Q146" s="5" t="n">
        <f aca="false">N146*O146*(1-P146)</f>
        <v>1564.92</v>
      </c>
      <c r="R146" s="5" t="n">
        <v>991.86</v>
      </c>
      <c r="S146" s="6" t="n">
        <f aca="false">IFERROR((Q146-R146)/Q146,0)</f>
        <v>0.366191243002837</v>
      </c>
    </row>
    <row r="147" customFormat="false" ht="15" hidden="false" customHeight="false" outlineLevel="0" collapsed="false">
      <c r="A147" s="2" t="n">
        <v>45454</v>
      </c>
      <c r="B147" s="3" t="s">
        <v>245</v>
      </c>
      <c r="C147" s="3" t="s">
        <v>167</v>
      </c>
      <c r="D147" s="3" t="s">
        <v>168</v>
      </c>
      <c r="E147" s="3" t="s">
        <v>169</v>
      </c>
      <c r="F147" s="3" t="s">
        <v>170</v>
      </c>
      <c r="G147" s="3" t="s">
        <v>39</v>
      </c>
      <c r="H147" s="3" t="s">
        <v>189</v>
      </c>
      <c r="I147" s="3" t="s">
        <v>190</v>
      </c>
      <c r="J147" s="3" t="s">
        <v>27</v>
      </c>
      <c r="K147" s="3" t="s">
        <v>149</v>
      </c>
      <c r="L147" s="3" t="s">
        <v>106</v>
      </c>
      <c r="M147" s="3" t="s">
        <v>107</v>
      </c>
      <c r="N147" s="4" t="n">
        <v>6</v>
      </c>
      <c r="O147" s="5" t="n">
        <v>9.84</v>
      </c>
      <c r="P147" s="6" t="n">
        <v>0.05</v>
      </c>
      <c r="Q147" s="5" t="n">
        <f aca="false">N147*O147*(1-P147)</f>
        <v>56.088</v>
      </c>
      <c r="R147" s="5" t="n">
        <v>35.32</v>
      </c>
      <c r="S147" s="6" t="n">
        <f aca="false">IFERROR((Q147-R147)/Q147,0)</f>
        <v>0.370275281700185</v>
      </c>
    </row>
    <row r="148" customFormat="false" ht="15" hidden="false" customHeight="false" outlineLevel="0" collapsed="false">
      <c r="A148" s="2" t="n">
        <v>45454</v>
      </c>
      <c r="B148" s="3" t="s">
        <v>245</v>
      </c>
      <c r="C148" s="3" t="s">
        <v>167</v>
      </c>
      <c r="D148" s="3" t="s">
        <v>168</v>
      </c>
      <c r="E148" s="3" t="s">
        <v>169</v>
      </c>
      <c r="F148" s="3" t="s">
        <v>170</v>
      </c>
      <c r="G148" s="3" t="s">
        <v>39</v>
      </c>
      <c r="H148" s="3" t="s">
        <v>58</v>
      </c>
      <c r="I148" s="3" t="s">
        <v>59</v>
      </c>
      <c r="J148" s="3" t="s">
        <v>32</v>
      </c>
      <c r="K148" s="3" t="s">
        <v>60</v>
      </c>
      <c r="L148" s="3" t="s">
        <v>106</v>
      </c>
      <c r="M148" s="3" t="s">
        <v>107</v>
      </c>
      <c r="N148" s="4" t="n">
        <v>12</v>
      </c>
      <c r="O148" s="5" t="n">
        <v>5.77</v>
      </c>
      <c r="P148" s="6" t="n">
        <v>0</v>
      </c>
      <c r="Q148" s="5" t="n">
        <f aca="false">N148*O148*(1-P148)</f>
        <v>69.24</v>
      </c>
      <c r="R148" s="5" t="n">
        <v>40.54</v>
      </c>
      <c r="S148" s="6" t="n">
        <f aca="false">IFERROR((Q148-R148)/Q148,0)</f>
        <v>0.414500288850376</v>
      </c>
    </row>
    <row r="149" customFormat="false" ht="15" hidden="false" customHeight="false" outlineLevel="0" collapsed="false">
      <c r="A149" s="2" t="n">
        <v>45455</v>
      </c>
      <c r="B149" s="3" t="s">
        <v>246</v>
      </c>
      <c r="C149" s="3" t="s">
        <v>116</v>
      </c>
      <c r="D149" s="3" t="s">
        <v>117</v>
      </c>
      <c r="E149" s="3" t="s">
        <v>118</v>
      </c>
      <c r="F149" s="3" t="s">
        <v>45</v>
      </c>
      <c r="G149" s="3" t="s">
        <v>39</v>
      </c>
      <c r="H149" s="3" t="s">
        <v>58</v>
      </c>
      <c r="I149" s="3" t="s">
        <v>59</v>
      </c>
      <c r="J149" s="3" t="s">
        <v>32</v>
      </c>
      <c r="K149" s="3" t="s">
        <v>60</v>
      </c>
      <c r="L149" s="3" t="s">
        <v>50</v>
      </c>
      <c r="M149" s="3" t="s">
        <v>45</v>
      </c>
      <c r="N149" s="4" t="n">
        <v>60</v>
      </c>
      <c r="O149" s="5" t="n">
        <v>5.89</v>
      </c>
      <c r="P149" s="6" t="n">
        <v>0.15</v>
      </c>
      <c r="Q149" s="5" t="n">
        <f aca="false">N149*O149*(1-P149)</f>
        <v>300.39</v>
      </c>
      <c r="R149" s="5" t="n">
        <v>206.68</v>
      </c>
      <c r="S149" s="6" t="n">
        <f aca="false">IFERROR((Q149-R149)/Q149,0)</f>
        <v>0.311961117214288</v>
      </c>
    </row>
    <row r="150" customFormat="false" ht="15" hidden="false" customHeight="false" outlineLevel="0" collapsed="false">
      <c r="A150" s="2" t="n">
        <v>45455</v>
      </c>
      <c r="B150" s="3" t="s">
        <v>246</v>
      </c>
      <c r="C150" s="3" t="s">
        <v>116</v>
      </c>
      <c r="D150" s="3" t="s">
        <v>117</v>
      </c>
      <c r="E150" s="3" t="s">
        <v>118</v>
      </c>
      <c r="F150" s="3" t="s">
        <v>45</v>
      </c>
      <c r="G150" s="3" t="s">
        <v>39</v>
      </c>
      <c r="H150" s="3" t="s">
        <v>54</v>
      </c>
      <c r="I150" s="3" t="s">
        <v>55</v>
      </c>
      <c r="J150" s="3" t="s">
        <v>56</v>
      </c>
      <c r="K150" s="3" t="s">
        <v>57</v>
      </c>
      <c r="L150" s="3" t="s">
        <v>50</v>
      </c>
      <c r="M150" s="3" t="s">
        <v>45</v>
      </c>
      <c r="N150" s="4" t="n">
        <v>60</v>
      </c>
      <c r="O150" s="5" t="n">
        <v>4.78</v>
      </c>
      <c r="P150" s="6" t="n">
        <v>0</v>
      </c>
      <c r="Q150" s="5" t="n">
        <f aca="false">N150*O150*(1-P150)</f>
        <v>286.8</v>
      </c>
      <c r="R150" s="5" t="n">
        <v>173.08</v>
      </c>
      <c r="S150" s="6" t="n">
        <f aca="false">IFERROR((Q150-R150)/Q150,0)</f>
        <v>0.396513249651325</v>
      </c>
    </row>
    <row r="151" customFormat="false" ht="15" hidden="false" customHeight="false" outlineLevel="0" collapsed="false">
      <c r="A151" s="2" t="n">
        <v>45456</v>
      </c>
      <c r="B151" s="3" t="s">
        <v>247</v>
      </c>
      <c r="C151" s="3" t="s">
        <v>161</v>
      </c>
      <c r="D151" s="3" t="s">
        <v>162</v>
      </c>
      <c r="E151" s="3" t="s">
        <v>163</v>
      </c>
      <c r="F151" s="3" t="s">
        <v>38</v>
      </c>
      <c r="G151" s="3" t="s">
        <v>24</v>
      </c>
      <c r="H151" s="3" t="s">
        <v>138</v>
      </c>
      <c r="I151" s="3" t="s">
        <v>139</v>
      </c>
      <c r="J151" s="3" t="s">
        <v>27</v>
      </c>
      <c r="K151" s="3" t="s">
        <v>140</v>
      </c>
      <c r="L151" s="3" t="s">
        <v>40</v>
      </c>
      <c r="M151" s="3" t="s">
        <v>38</v>
      </c>
      <c r="N151" s="4" t="n">
        <v>60</v>
      </c>
      <c r="O151" s="5" t="n">
        <v>3.88</v>
      </c>
      <c r="P151" s="6" t="n">
        <v>0.15</v>
      </c>
      <c r="Q151" s="5" t="n">
        <f aca="false">N151*O151*(1-P151)</f>
        <v>197.88</v>
      </c>
      <c r="R151" s="5" t="n">
        <v>139.17</v>
      </c>
      <c r="S151" s="6" t="n">
        <f aca="false">IFERROR((Q151-R151)/Q151,0)</f>
        <v>0.296694966646452</v>
      </c>
    </row>
    <row r="152" customFormat="false" ht="15" hidden="false" customHeight="false" outlineLevel="0" collapsed="false">
      <c r="A152" s="2" t="n">
        <v>45456</v>
      </c>
      <c r="B152" s="3" t="s">
        <v>247</v>
      </c>
      <c r="C152" s="3" t="s">
        <v>161</v>
      </c>
      <c r="D152" s="3" t="s">
        <v>162</v>
      </c>
      <c r="E152" s="3" t="s">
        <v>163</v>
      </c>
      <c r="F152" s="3" t="s">
        <v>38</v>
      </c>
      <c r="G152" s="3" t="s">
        <v>24</v>
      </c>
      <c r="H152" s="3" t="s">
        <v>182</v>
      </c>
      <c r="I152" s="3" t="s">
        <v>183</v>
      </c>
      <c r="J152" s="3" t="s">
        <v>67</v>
      </c>
      <c r="K152" s="3" t="s">
        <v>184</v>
      </c>
      <c r="L152" s="3" t="s">
        <v>40</v>
      </c>
      <c r="M152" s="3" t="s">
        <v>38</v>
      </c>
      <c r="N152" s="4" t="n">
        <v>60</v>
      </c>
      <c r="O152" s="5" t="n">
        <v>12.41</v>
      </c>
      <c r="P152" s="6" t="n">
        <v>0.05</v>
      </c>
      <c r="Q152" s="5" t="n">
        <f aca="false">N152*O152*(1-P152)</f>
        <v>707.37</v>
      </c>
      <c r="R152" s="5" t="n">
        <v>460.5</v>
      </c>
      <c r="S152" s="6" t="n">
        <f aca="false">IFERROR((Q152-R152)/Q152,0)</f>
        <v>0.348996988846007</v>
      </c>
    </row>
    <row r="153" customFormat="false" ht="15" hidden="false" customHeight="false" outlineLevel="0" collapsed="false">
      <c r="A153" s="2" t="n">
        <v>45459</v>
      </c>
      <c r="B153" s="3" t="s">
        <v>248</v>
      </c>
      <c r="C153" s="3" t="s">
        <v>228</v>
      </c>
      <c r="D153" s="3" t="s">
        <v>124</v>
      </c>
      <c r="E153" s="3" t="s">
        <v>229</v>
      </c>
      <c r="F153" s="3" t="s">
        <v>45</v>
      </c>
      <c r="G153" s="3" t="s">
        <v>39</v>
      </c>
      <c r="H153" s="3" t="s">
        <v>145</v>
      </c>
      <c r="I153" s="3" t="s">
        <v>146</v>
      </c>
      <c r="J153" s="3" t="s">
        <v>32</v>
      </c>
      <c r="K153" s="3" t="s">
        <v>33</v>
      </c>
      <c r="L153" s="3" t="s">
        <v>50</v>
      </c>
      <c r="M153" s="3" t="s">
        <v>45</v>
      </c>
      <c r="N153" s="4" t="n">
        <v>72</v>
      </c>
      <c r="O153" s="5" t="n">
        <v>19.69</v>
      </c>
      <c r="P153" s="6" t="n">
        <v>0.05</v>
      </c>
      <c r="Q153" s="5" t="n">
        <f aca="false">N153*O153*(1-P153)</f>
        <v>1346.796</v>
      </c>
      <c r="R153" s="5" t="n">
        <v>820.66</v>
      </c>
      <c r="S153" s="6" t="n">
        <f aca="false">IFERROR((Q153-R153)/Q153,0)</f>
        <v>0.390657530910398</v>
      </c>
    </row>
    <row r="154" customFormat="false" ht="15" hidden="false" customHeight="false" outlineLevel="0" collapsed="false">
      <c r="A154" s="2" t="n">
        <v>45459</v>
      </c>
      <c r="B154" s="3" t="s">
        <v>248</v>
      </c>
      <c r="C154" s="3" t="s">
        <v>228</v>
      </c>
      <c r="D154" s="3" t="s">
        <v>124</v>
      </c>
      <c r="E154" s="3" t="s">
        <v>229</v>
      </c>
      <c r="F154" s="3" t="s">
        <v>45</v>
      </c>
      <c r="G154" s="3" t="s">
        <v>39</v>
      </c>
      <c r="H154" s="3" t="s">
        <v>46</v>
      </c>
      <c r="I154" s="3" t="s">
        <v>47</v>
      </c>
      <c r="J154" s="3" t="s">
        <v>48</v>
      </c>
      <c r="K154" s="3" t="s">
        <v>49</v>
      </c>
      <c r="L154" s="3" t="s">
        <v>50</v>
      </c>
      <c r="M154" s="3" t="s">
        <v>45</v>
      </c>
      <c r="N154" s="4" t="n">
        <v>96</v>
      </c>
      <c r="O154" s="5" t="n">
        <v>14.89</v>
      </c>
      <c r="P154" s="6" t="n">
        <v>0</v>
      </c>
      <c r="Q154" s="5" t="n">
        <f aca="false">N154*O154*(1-P154)</f>
        <v>1429.44</v>
      </c>
      <c r="R154" s="5" t="n">
        <v>901.33</v>
      </c>
      <c r="S154" s="6" t="n">
        <f aca="false">IFERROR((Q154-R154)/Q154,0)</f>
        <v>0.369452372957242</v>
      </c>
    </row>
    <row r="155" customFormat="false" ht="15" hidden="false" customHeight="false" outlineLevel="0" collapsed="false">
      <c r="A155" s="2" t="n">
        <v>45459</v>
      </c>
      <c r="B155" s="3" t="s">
        <v>249</v>
      </c>
      <c r="C155" s="3" t="s">
        <v>102</v>
      </c>
      <c r="D155" s="3" t="s">
        <v>103</v>
      </c>
      <c r="E155" s="3" t="s">
        <v>104</v>
      </c>
      <c r="F155" s="3" t="s">
        <v>105</v>
      </c>
      <c r="G155" s="3" t="s">
        <v>24</v>
      </c>
      <c r="H155" s="3" t="s">
        <v>171</v>
      </c>
      <c r="I155" s="3" t="s">
        <v>172</v>
      </c>
      <c r="J155" s="3" t="s">
        <v>27</v>
      </c>
      <c r="K155" s="3" t="s">
        <v>140</v>
      </c>
      <c r="L155" s="3" t="s">
        <v>106</v>
      </c>
      <c r="M155" s="3" t="s">
        <v>107</v>
      </c>
      <c r="N155" s="4" t="n">
        <v>120</v>
      </c>
      <c r="O155" s="5" t="n">
        <v>3.93</v>
      </c>
      <c r="P155" s="6" t="n">
        <v>0.15</v>
      </c>
      <c r="Q155" s="5" t="n">
        <f aca="false">N155*O155*(1-P155)</f>
        <v>400.86</v>
      </c>
      <c r="R155" s="5" t="n">
        <v>299.35</v>
      </c>
      <c r="S155" s="6" t="n">
        <f aca="false">IFERROR((Q155-R155)/Q155,0)</f>
        <v>0.253230554308237</v>
      </c>
    </row>
    <row r="156" customFormat="false" ht="15" hidden="false" customHeight="false" outlineLevel="0" collapsed="false">
      <c r="A156" s="2" t="n">
        <v>45459</v>
      </c>
      <c r="B156" s="3" t="s">
        <v>249</v>
      </c>
      <c r="C156" s="3" t="s">
        <v>102</v>
      </c>
      <c r="D156" s="3" t="s">
        <v>103</v>
      </c>
      <c r="E156" s="3" t="s">
        <v>104</v>
      </c>
      <c r="F156" s="3" t="s">
        <v>105</v>
      </c>
      <c r="G156" s="3" t="s">
        <v>24</v>
      </c>
      <c r="H156" s="3" t="s">
        <v>132</v>
      </c>
      <c r="I156" s="3" t="s">
        <v>133</v>
      </c>
      <c r="J156" s="3" t="s">
        <v>27</v>
      </c>
      <c r="K156" s="3" t="s">
        <v>28</v>
      </c>
      <c r="L156" s="3" t="s">
        <v>106</v>
      </c>
      <c r="M156" s="3" t="s">
        <v>107</v>
      </c>
      <c r="N156" s="4" t="n">
        <v>24</v>
      </c>
      <c r="O156" s="5" t="n">
        <v>13.53</v>
      </c>
      <c r="P156" s="6" t="n">
        <v>0.1</v>
      </c>
      <c r="Q156" s="5" t="n">
        <f aca="false">N156*O156*(1-P156)</f>
        <v>292.248</v>
      </c>
      <c r="R156" s="5" t="n">
        <v>197.3</v>
      </c>
      <c r="S156" s="6" t="n">
        <f aca="false">IFERROR((Q156-R156)/Q156,0)</f>
        <v>0.324888450904711</v>
      </c>
    </row>
    <row r="157" customFormat="false" ht="15" hidden="false" customHeight="false" outlineLevel="0" collapsed="false">
      <c r="A157" s="2" t="n">
        <v>45459</v>
      </c>
      <c r="B157" s="3" t="s">
        <v>249</v>
      </c>
      <c r="C157" s="3" t="s">
        <v>102</v>
      </c>
      <c r="D157" s="3" t="s">
        <v>103</v>
      </c>
      <c r="E157" s="3" t="s">
        <v>104</v>
      </c>
      <c r="F157" s="3" t="s">
        <v>250</v>
      </c>
      <c r="G157" s="3" t="s">
        <v>24</v>
      </c>
      <c r="H157" s="3" t="s">
        <v>112</v>
      </c>
      <c r="I157" s="3" t="s">
        <v>113</v>
      </c>
      <c r="J157" s="3" t="s">
        <v>67</v>
      </c>
      <c r="K157" s="3" t="s">
        <v>114</v>
      </c>
      <c r="L157" s="3" t="s">
        <v>106</v>
      </c>
      <c r="M157" s="3" t="s">
        <v>107</v>
      </c>
      <c r="N157" s="4" t="n">
        <v>60</v>
      </c>
      <c r="O157" s="5" t="n">
        <v>10.15</v>
      </c>
      <c r="P157" s="6" t="n">
        <v>0.05</v>
      </c>
      <c r="Q157" s="5" t="n">
        <f aca="false">N157*O157*(1-P157)</f>
        <v>578.55</v>
      </c>
      <c r="R157" s="5" t="n">
        <v>350.52</v>
      </c>
      <c r="S157" s="6" t="n">
        <f aca="false">IFERROR((Q157-R157)/Q157,0)</f>
        <v>0.394140523723101</v>
      </c>
    </row>
    <row r="158" customFormat="false" ht="15" hidden="false" customHeight="false" outlineLevel="0" collapsed="false">
      <c r="A158" s="2" t="n">
        <v>45459</v>
      </c>
      <c r="B158" s="3" t="s">
        <v>249</v>
      </c>
      <c r="C158" s="3" t="s">
        <v>102</v>
      </c>
      <c r="D158" s="3" t="s">
        <v>103</v>
      </c>
      <c r="E158" s="3" t="s">
        <v>104</v>
      </c>
      <c r="F158" s="3" t="s">
        <v>105</v>
      </c>
      <c r="G158" s="3" t="s">
        <v>24</v>
      </c>
      <c r="H158" s="3" t="s">
        <v>25</v>
      </c>
      <c r="I158" s="3" t="s">
        <v>26</v>
      </c>
      <c r="J158" s="3" t="s">
        <v>27</v>
      </c>
      <c r="K158" s="3" t="s">
        <v>28</v>
      </c>
      <c r="L158" s="3" t="s">
        <v>106</v>
      </c>
      <c r="M158" s="3" t="s">
        <v>107</v>
      </c>
      <c r="N158" s="4" t="n">
        <v>48</v>
      </c>
      <c r="O158" s="5" t="n">
        <v>6.89</v>
      </c>
      <c r="P158" s="6" t="n">
        <v>0</v>
      </c>
      <c r="Q158" s="5" t="n">
        <f aca="false">N158*O158*(1-P158)</f>
        <v>330.72</v>
      </c>
      <c r="R158" s="5" t="n">
        <v>196.2</v>
      </c>
      <c r="S158" s="6" t="n">
        <f aca="false">IFERROR((Q158-R158)/Q158,0)</f>
        <v>0.406748911465893</v>
      </c>
    </row>
    <row r="159" customFormat="false" ht="15" hidden="false" customHeight="false" outlineLevel="0" collapsed="false">
      <c r="A159" s="2" t="n">
        <v>45460</v>
      </c>
      <c r="B159" s="3" t="s">
        <v>251</v>
      </c>
      <c r="C159" s="3" t="s">
        <v>209</v>
      </c>
      <c r="D159" s="3" t="s">
        <v>210</v>
      </c>
      <c r="E159" s="3" t="s">
        <v>211</v>
      </c>
      <c r="F159" s="3" t="s">
        <v>23</v>
      </c>
      <c r="G159" s="3" t="s">
        <v>95</v>
      </c>
      <c r="H159" s="3" t="s">
        <v>46</v>
      </c>
      <c r="I159" s="3" t="s">
        <v>47</v>
      </c>
      <c r="J159" s="3" t="s">
        <v>48</v>
      </c>
      <c r="K159" s="3" t="s">
        <v>49</v>
      </c>
      <c r="L159" s="3" t="s">
        <v>29</v>
      </c>
      <c r="M159" s="3" t="s">
        <v>23</v>
      </c>
      <c r="N159" s="4" t="n">
        <v>120</v>
      </c>
      <c r="O159" s="5" t="n">
        <v>16.42</v>
      </c>
      <c r="P159" s="6" t="n">
        <v>0</v>
      </c>
      <c r="Q159" s="5" t="n">
        <f aca="false">N159*O159*(1-P159)</f>
        <v>1970.4</v>
      </c>
      <c r="R159" s="5" t="n">
        <v>1133.3</v>
      </c>
      <c r="S159" s="6" t="n">
        <f aca="false">IFERROR((Q159-R159)/Q159,0)</f>
        <v>0.424837596427121</v>
      </c>
    </row>
    <row r="160" customFormat="false" ht="15" hidden="false" customHeight="false" outlineLevel="0" collapsed="false">
      <c r="A160" s="2" t="n">
        <v>45460</v>
      </c>
      <c r="B160" s="3" t="s">
        <v>251</v>
      </c>
      <c r="C160" s="3" t="s">
        <v>209</v>
      </c>
      <c r="D160" s="3" t="s">
        <v>210</v>
      </c>
      <c r="E160" s="3" t="s">
        <v>211</v>
      </c>
      <c r="F160" s="3" t="s">
        <v>23</v>
      </c>
      <c r="G160" s="3" t="s">
        <v>95</v>
      </c>
      <c r="H160" s="3" t="s">
        <v>84</v>
      </c>
      <c r="I160" s="3" t="s">
        <v>85</v>
      </c>
      <c r="J160" s="3" t="s">
        <v>56</v>
      </c>
      <c r="K160" s="3" t="s">
        <v>86</v>
      </c>
      <c r="L160" s="3" t="s">
        <v>29</v>
      </c>
      <c r="M160" s="3" t="s">
        <v>23</v>
      </c>
      <c r="N160" s="4" t="n">
        <v>60</v>
      </c>
      <c r="O160" s="5" t="n">
        <v>5.61</v>
      </c>
      <c r="P160" s="6" t="n">
        <v>0</v>
      </c>
      <c r="Q160" s="5" t="n">
        <f aca="false">N160*O160*(1-P160)</f>
        <v>336.6</v>
      </c>
      <c r="R160" s="5" t="n">
        <v>185.51</v>
      </c>
      <c r="S160" s="6" t="n">
        <f aca="false">IFERROR((Q160-R160)/Q160,0)</f>
        <v>0.448871063576946</v>
      </c>
    </row>
    <row r="161" customFormat="false" ht="15" hidden="false" customHeight="false" outlineLevel="0" collapsed="false">
      <c r="A161" s="2" t="n">
        <v>45460</v>
      </c>
      <c r="B161" s="3" t="s">
        <v>251</v>
      </c>
      <c r="C161" s="3" t="s">
        <v>209</v>
      </c>
      <c r="D161" s="3" t="s">
        <v>210</v>
      </c>
      <c r="E161" s="3" t="s">
        <v>211</v>
      </c>
      <c r="F161" s="3" t="s">
        <v>23</v>
      </c>
      <c r="G161" s="3" t="s">
        <v>95</v>
      </c>
      <c r="H161" s="3" t="s">
        <v>25</v>
      </c>
      <c r="I161" s="3" t="s">
        <v>26</v>
      </c>
      <c r="J161" s="3" t="s">
        <v>27</v>
      </c>
      <c r="K161" s="3" t="s">
        <v>28</v>
      </c>
      <c r="L161" s="3" t="s">
        <v>29</v>
      </c>
      <c r="M161" s="3" t="s">
        <v>23</v>
      </c>
      <c r="N161" s="4" t="n">
        <v>12</v>
      </c>
      <c r="O161" s="5" t="n">
        <v>6.74</v>
      </c>
      <c r="P161" s="6" t="n">
        <v>0</v>
      </c>
      <c r="Q161" s="5" t="n">
        <f aca="false">N161*O161*(1-P161)</f>
        <v>80.88</v>
      </c>
      <c r="R161" s="5" t="n">
        <v>49.99</v>
      </c>
      <c r="S161" s="6" t="n">
        <f aca="false">IFERROR((Q161-R161)/Q161,0)</f>
        <v>0.381923837784372</v>
      </c>
    </row>
    <row r="162" customFormat="false" ht="15" hidden="false" customHeight="false" outlineLevel="0" collapsed="false">
      <c r="A162" s="2" t="n">
        <v>45460</v>
      </c>
      <c r="B162" s="3" t="s">
        <v>251</v>
      </c>
      <c r="C162" s="3" t="s">
        <v>209</v>
      </c>
      <c r="D162" s="3" t="s">
        <v>210</v>
      </c>
      <c r="E162" s="3" t="s">
        <v>211</v>
      </c>
      <c r="F162" s="3" t="s">
        <v>23</v>
      </c>
      <c r="G162" s="3" t="s">
        <v>95</v>
      </c>
      <c r="H162" s="3" t="s">
        <v>81</v>
      </c>
      <c r="I162" s="3" t="s">
        <v>82</v>
      </c>
      <c r="J162" s="3" t="s">
        <v>32</v>
      </c>
      <c r="K162" s="3" t="s">
        <v>83</v>
      </c>
      <c r="L162" s="3" t="s">
        <v>29</v>
      </c>
      <c r="M162" s="3" t="s">
        <v>23</v>
      </c>
      <c r="N162" s="4" t="n">
        <v>6</v>
      </c>
      <c r="O162" s="5" t="n">
        <v>20.79</v>
      </c>
      <c r="P162" s="6" t="n">
        <v>0.05</v>
      </c>
      <c r="Q162" s="5" t="n">
        <f aca="false">N162*O162*(1-P162)</f>
        <v>118.503</v>
      </c>
      <c r="R162" s="5" t="n">
        <v>78.98</v>
      </c>
      <c r="S162" s="6" t="n">
        <f aca="false">IFERROR((Q162-R162)/Q162,0)</f>
        <v>0.33351898264179</v>
      </c>
    </row>
    <row r="163" customFormat="false" ht="15" hidden="false" customHeight="false" outlineLevel="0" collapsed="false">
      <c r="A163" s="2" t="n">
        <v>45460</v>
      </c>
      <c r="B163" s="3" t="s">
        <v>252</v>
      </c>
      <c r="C163" s="3" t="s">
        <v>253</v>
      </c>
      <c r="D163" s="3" t="s">
        <v>254</v>
      </c>
      <c r="E163" s="3" t="s">
        <v>255</v>
      </c>
      <c r="F163" s="3" t="s">
        <v>38</v>
      </c>
      <c r="G163" s="3" t="s">
        <v>95</v>
      </c>
      <c r="H163" s="3" t="s">
        <v>30</v>
      </c>
      <c r="I163" s="3" t="s">
        <v>31</v>
      </c>
      <c r="J163" s="3" t="s">
        <v>32</v>
      </c>
      <c r="K163" s="3" t="s">
        <v>33</v>
      </c>
      <c r="L163" s="3" t="s">
        <v>181</v>
      </c>
      <c r="M163" s="3" t="s">
        <v>180</v>
      </c>
      <c r="N163" s="4" t="n">
        <v>72</v>
      </c>
      <c r="O163" s="5" t="n">
        <v>25.96</v>
      </c>
      <c r="P163" s="6" t="n">
        <v>0.05</v>
      </c>
      <c r="Q163" s="5" t="n">
        <f aca="false">N163*O163*(1-P163)</f>
        <v>1775.664</v>
      </c>
      <c r="R163" s="5" t="n">
        <v>1095.9</v>
      </c>
      <c r="S163" s="6" t="n">
        <f aca="false">IFERROR((Q163-R163)/Q163,0)</f>
        <v>0.382822425864353</v>
      </c>
    </row>
    <row r="164" customFormat="false" ht="15" hidden="false" customHeight="false" outlineLevel="0" collapsed="false">
      <c r="A164" s="2" t="n">
        <v>45460</v>
      </c>
      <c r="B164" s="3" t="s">
        <v>256</v>
      </c>
      <c r="C164" s="3" t="s">
        <v>167</v>
      </c>
      <c r="D164" s="3" t="s">
        <v>168</v>
      </c>
      <c r="E164" s="3" t="s">
        <v>169</v>
      </c>
      <c r="F164" s="3" t="s">
        <v>170</v>
      </c>
      <c r="G164" s="3" t="s">
        <v>39</v>
      </c>
      <c r="H164" s="3" t="s">
        <v>119</v>
      </c>
      <c r="I164" s="3" t="s">
        <v>120</v>
      </c>
      <c r="J164" s="3" t="s">
        <v>89</v>
      </c>
      <c r="K164" s="3" t="s">
        <v>121</v>
      </c>
      <c r="L164" s="3" t="s">
        <v>106</v>
      </c>
      <c r="M164" s="3" t="s">
        <v>107</v>
      </c>
      <c r="N164" s="4" t="n">
        <v>60</v>
      </c>
      <c r="O164" s="5" t="n">
        <v>11.48</v>
      </c>
      <c r="P164" s="6" t="n">
        <v>0</v>
      </c>
      <c r="Q164" s="5" t="n">
        <f aca="false">N164*O164*(1-P164)</f>
        <v>688.8</v>
      </c>
      <c r="R164" s="5" t="n">
        <v>400.85</v>
      </c>
      <c r="S164" s="6" t="n">
        <f aca="false">IFERROR((Q164-R164)/Q164,0)</f>
        <v>0.41804587688734</v>
      </c>
    </row>
    <row r="165" customFormat="false" ht="15" hidden="false" customHeight="false" outlineLevel="0" collapsed="false">
      <c r="A165" s="2" t="n">
        <v>45460</v>
      </c>
      <c r="B165" s="3" t="s">
        <v>256</v>
      </c>
      <c r="C165" s="3" t="s">
        <v>167</v>
      </c>
      <c r="D165" s="3" t="s">
        <v>168</v>
      </c>
      <c r="E165" s="3" t="s">
        <v>169</v>
      </c>
      <c r="F165" s="3" t="s">
        <v>170</v>
      </c>
      <c r="G165" s="3" t="s">
        <v>39</v>
      </c>
      <c r="H165" s="3" t="s">
        <v>129</v>
      </c>
      <c r="I165" s="3" t="s">
        <v>130</v>
      </c>
      <c r="J165" s="3" t="s">
        <v>67</v>
      </c>
      <c r="K165" s="3" t="s">
        <v>131</v>
      </c>
      <c r="L165" s="3" t="s">
        <v>106</v>
      </c>
      <c r="M165" s="3" t="s">
        <v>107</v>
      </c>
      <c r="N165" s="4" t="n">
        <v>60</v>
      </c>
      <c r="O165" s="5" t="n">
        <v>10.87</v>
      </c>
      <c r="P165" s="6" t="n">
        <v>0.15</v>
      </c>
      <c r="Q165" s="5" t="n">
        <f aca="false">N165*O165*(1-P165)</f>
        <v>554.37</v>
      </c>
      <c r="R165" s="5" t="n">
        <v>427.11</v>
      </c>
      <c r="S165" s="6" t="n">
        <f aca="false">IFERROR((Q165-R165)/Q165,0)</f>
        <v>0.229557876508469</v>
      </c>
    </row>
    <row r="166" customFormat="false" ht="15" hidden="false" customHeight="false" outlineLevel="0" collapsed="false">
      <c r="A166" s="2" t="n">
        <v>45460</v>
      </c>
      <c r="B166" s="3" t="s">
        <v>256</v>
      </c>
      <c r="C166" s="3" t="s">
        <v>167</v>
      </c>
      <c r="D166" s="3" t="s">
        <v>168</v>
      </c>
      <c r="E166" s="3" t="s">
        <v>169</v>
      </c>
      <c r="F166" s="3" t="s">
        <v>170</v>
      </c>
      <c r="G166" s="3" t="s">
        <v>39</v>
      </c>
      <c r="H166" s="3" t="s">
        <v>147</v>
      </c>
      <c r="I166" s="3" t="s">
        <v>148</v>
      </c>
      <c r="J166" s="3" t="s">
        <v>27</v>
      </c>
      <c r="K166" s="3" t="s">
        <v>149</v>
      </c>
      <c r="L166" s="3" t="s">
        <v>106</v>
      </c>
      <c r="M166" s="3" t="s">
        <v>107</v>
      </c>
      <c r="N166" s="4" t="n">
        <v>60</v>
      </c>
      <c r="O166" s="5" t="n">
        <v>4.64</v>
      </c>
      <c r="P166" s="6" t="n">
        <v>0</v>
      </c>
      <c r="Q166" s="5" t="n">
        <f aca="false">N166*O166*(1-P166)</f>
        <v>278.4</v>
      </c>
      <c r="R166" s="5" t="n">
        <v>167.11</v>
      </c>
      <c r="S166" s="6" t="n">
        <f aca="false">IFERROR((Q166-R166)/Q166,0)</f>
        <v>0.399748563218391</v>
      </c>
    </row>
    <row r="167" customFormat="false" ht="15" hidden="false" customHeight="false" outlineLevel="0" collapsed="false">
      <c r="A167" s="2" t="n">
        <v>45462</v>
      </c>
      <c r="B167" s="3" t="s">
        <v>257</v>
      </c>
      <c r="C167" s="3" t="s">
        <v>20</v>
      </c>
      <c r="D167" s="3" t="s">
        <v>21</v>
      </c>
      <c r="E167" s="3" t="s">
        <v>22</v>
      </c>
      <c r="F167" s="3" t="s">
        <v>23</v>
      </c>
      <c r="G167" s="3" t="s">
        <v>24</v>
      </c>
      <c r="H167" s="3" t="s">
        <v>84</v>
      </c>
      <c r="I167" s="3" t="s">
        <v>85</v>
      </c>
      <c r="J167" s="3" t="s">
        <v>56</v>
      </c>
      <c r="K167" s="3" t="s">
        <v>86</v>
      </c>
      <c r="L167" s="3" t="s">
        <v>29</v>
      </c>
      <c r="M167" s="3" t="s">
        <v>23</v>
      </c>
      <c r="N167" s="4" t="n">
        <v>24</v>
      </c>
      <c r="O167" s="5" t="n">
        <v>5.4</v>
      </c>
      <c r="P167" s="6" t="n">
        <v>0.15</v>
      </c>
      <c r="Q167" s="5" t="n">
        <f aca="false">N167*O167*(1-P167)</f>
        <v>110.16</v>
      </c>
      <c r="R167" s="5" t="n">
        <v>75.01</v>
      </c>
      <c r="S167" s="6" t="n">
        <f aca="false">IFERROR((Q167-R167)/Q167,0)</f>
        <v>0.319081336238199</v>
      </c>
    </row>
    <row r="168" customFormat="false" ht="15" hidden="false" customHeight="false" outlineLevel="0" collapsed="false">
      <c r="A168" s="2" t="n">
        <v>45462</v>
      </c>
      <c r="B168" s="3" t="s">
        <v>257</v>
      </c>
      <c r="C168" s="3" t="s">
        <v>20</v>
      </c>
      <c r="D168" s="3" t="s">
        <v>21</v>
      </c>
      <c r="E168" s="3" t="s">
        <v>22</v>
      </c>
      <c r="F168" s="3" t="s">
        <v>23</v>
      </c>
      <c r="G168" s="3" t="s">
        <v>24</v>
      </c>
      <c r="H168" s="3" t="s">
        <v>65</v>
      </c>
      <c r="I168" s="3" t="s">
        <v>66</v>
      </c>
      <c r="J168" s="3" t="s">
        <v>67</v>
      </c>
      <c r="K168" s="3" t="s">
        <v>68</v>
      </c>
      <c r="L168" s="3" t="s">
        <v>29</v>
      </c>
      <c r="M168" s="3" t="s">
        <v>23</v>
      </c>
      <c r="N168" s="4" t="n">
        <v>12</v>
      </c>
      <c r="O168" s="5" t="n">
        <v>26.56</v>
      </c>
      <c r="P168" s="6" t="n">
        <v>0</v>
      </c>
      <c r="Q168" s="5" t="n">
        <f aca="false">N168*O168*(1-P168)</f>
        <v>318.72</v>
      </c>
      <c r="R168" s="5" t="n">
        <v>206.78</v>
      </c>
      <c r="S168" s="6" t="n">
        <f aca="false">IFERROR((Q168-R168)/Q168,0)</f>
        <v>0.351217369477912</v>
      </c>
    </row>
    <row r="169" customFormat="false" ht="15" hidden="false" customHeight="false" outlineLevel="0" collapsed="false">
      <c r="A169" s="2" t="n">
        <v>45468</v>
      </c>
      <c r="B169" s="3" t="s">
        <v>258</v>
      </c>
      <c r="C169" s="3" t="s">
        <v>70</v>
      </c>
      <c r="D169" s="3" t="s">
        <v>71</v>
      </c>
      <c r="E169" s="3" t="s">
        <v>72</v>
      </c>
      <c r="F169" s="3" t="s">
        <v>45</v>
      </c>
      <c r="G169" s="3" t="s">
        <v>39</v>
      </c>
      <c r="H169" s="3" t="s">
        <v>129</v>
      </c>
      <c r="I169" s="3" t="s">
        <v>130</v>
      </c>
      <c r="J169" s="3" t="s">
        <v>67</v>
      </c>
      <c r="K169" s="3" t="s">
        <v>131</v>
      </c>
      <c r="L169" s="3" t="s">
        <v>50</v>
      </c>
      <c r="M169" s="3" t="s">
        <v>45</v>
      </c>
      <c r="N169" s="4" t="n">
        <v>120</v>
      </c>
      <c r="O169" s="5" t="n">
        <v>11.08</v>
      </c>
      <c r="P169" s="6" t="n">
        <v>0</v>
      </c>
      <c r="Q169" s="5" t="n">
        <f aca="false">N169*O169*(1-P169)</f>
        <v>1329.6</v>
      </c>
      <c r="R169" s="5" t="n">
        <v>830.95</v>
      </c>
      <c r="S169" s="6" t="n">
        <f aca="false">IFERROR((Q169-R169)/Q169,0)</f>
        <v>0.375037605294825</v>
      </c>
    </row>
    <row r="170" customFormat="false" ht="15" hidden="false" customHeight="false" outlineLevel="0" collapsed="false">
      <c r="A170" s="2" t="n">
        <v>45468</v>
      </c>
      <c r="B170" s="3" t="s">
        <v>258</v>
      </c>
      <c r="C170" s="3" t="s">
        <v>70</v>
      </c>
      <c r="D170" s="3" t="s">
        <v>71</v>
      </c>
      <c r="E170" s="3" t="s">
        <v>72</v>
      </c>
      <c r="F170" s="3" t="s">
        <v>45</v>
      </c>
      <c r="G170" s="3" t="s">
        <v>39</v>
      </c>
      <c r="H170" s="3" t="s">
        <v>87</v>
      </c>
      <c r="I170" s="3" t="s">
        <v>88</v>
      </c>
      <c r="J170" s="3" t="s">
        <v>89</v>
      </c>
      <c r="K170" s="3" t="s">
        <v>90</v>
      </c>
      <c r="L170" s="3" t="s">
        <v>50</v>
      </c>
      <c r="M170" s="3" t="s">
        <v>45</v>
      </c>
      <c r="N170" s="4" t="n">
        <v>72</v>
      </c>
      <c r="O170" s="5" t="n">
        <v>15.5</v>
      </c>
      <c r="P170" s="6" t="n">
        <v>0.15</v>
      </c>
      <c r="Q170" s="5" t="n">
        <f aca="false">N170*O170*(1-P170)</f>
        <v>948.6</v>
      </c>
      <c r="R170" s="5" t="n">
        <v>740.32</v>
      </c>
      <c r="S170" s="6" t="n">
        <f aca="false">IFERROR((Q170-R170)/Q170,0)</f>
        <v>0.219565675732659</v>
      </c>
    </row>
    <row r="171" customFormat="false" ht="15" hidden="false" customHeight="false" outlineLevel="0" collapsed="false">
      <c r="A171" s="2" t="n">
        <v>45468</v>
      </c>
      <c r="B171" s="3" t="s">
        <v>258</v>
      </c>
      <c r="C171" s="3" t="s">
        <v>70</v>
      </c>
      <c r="D171" s="3" t="s">
        <v>71</v>
      </c>
      <c r="E171" s="3" t="s">
        <v>72</v>
      </c>
      <c r="F171" s="3" t="s">
        <v>45</v>
      </c>
      <c r="G171" s="3" t="s">
        <v>39</v>
      </c>
      <c r="H171" s="3" t="s">
        <v>46</v>
      </c>
      <c r="I171" s="3" t="s">
        <v>47</v>
      </c>
      <c r="J171" s="3" t="s">
        <v>48</v>
      </c>
      <c r="K171" s="3" t="s">
        <v>49</v>
      </c>
      <c r="L171" s="3" t="s">
        <v>50</v>
      </c>
      <c r="M171" s="3" t="s">
        <v>45</v>
      </c>
      <c r="N171" s="4" t="n">
        <v>48</v>
      </c>
      <c r="O171" s="5" t="n">
        <v>14.8</v>
      </c>
      <c r="P171" s="6" t="n">
        <v>0.1</v>
      </c>
      <c r="Q171" s="5" t="n">
        <f aca="false">N171*O171*(1-P171)</f>
        <v>639.36</v>
      </c>
      <c r="R171" s="5" t="n">
        <v>447.17</v>
      </c>
      <c r="S171" s="6" t="n">
        <f aca="false">IFERROR((Q171-R171)/Q171,0)</f>
        <v>0.300597472472473</v>
      </c>
    </row>
    <row r="172" customFormat="false" ht="15" hidden="false" customHeight="false" outlineLevel="0" collapsed="false">
      <c r="A172" s="2" t="n">
        <v>45468</v>
      </c>
      <c r="B172" s="3" t="s">
        <v>258</v>
      </c>
      <c r="C172" s="3" t="s">
        <v>70</v>
      </c>
      <c r="D172" s="3" t="s">
        <v>71</v>
      </c>
      <c r="E172" s="3" t="s">
        <v>72</v>
      </c>
      <c r="F172" s="3" t="s">
        <v>45</v>
      </c>
      <c r="G172" s="3" t="s">
        <v>39</v>
      </c>
      <c r="H172" s="3" t="s">
        <v>108</v>
      </c>
      <c r="I172" s="3" t="s">
        <v>109</v>
      </c>
      <c r="J172" s="3" t="s">
        <v>48</v>
      </c>
      <c r="K172" s="3" t="s">
        <v>110</v>
      </c>
      <c r="L172" s="3" t="s">
        <v>50</v>
      </c>
      <c r="M172" s="3" t="s">
        <v>45</v>
      </c>
      <c r="N172" s="4" t="n">
        <v>60</v>
      </c>
      <c r="O172" s="5" t="n">
        <v>7.75</v>
      </c>
      <c r="P172" s="6" t="n">
        <v>0</v>
      </c>
      <c r="Q172" s="5" t="n">
        <f aca="false">N172*O172*(1-P172)</f>
        <v>465</v>
      </c>
      <c r="R172" s="5" t="n">
        <v>255.9</v>
      </c>
      <c r="S172" s="6" t="n">
        <f aca="false">IFERROR((Q172-R172)/Q172,0)</f>
        <v>0.449677419354839</v>
      </c>
    </row>
    <row r="173" customFormat="false" ht="15" hidden="false" customHeight="false" outlineLevel="0" collapsed="false">
      <c r="A173" s="2" t="n">
        <v>45472</v>
      </c>
      <c r="B173" s="3" t="s">
        <v>259</v>
      </c>
      <c r="C173" s="3" t="s">
        <v>234</v>
      </c>
      <c r="D173" s="3" t="s">
        <v>235</v>
      </c>
      <c r="E173" s="3" t="s">
        <v>236</v>
      </c>
      <c r="F173" s="3" t="s">
        <v>23</v>
      </c>
      <c r="G173" s="3" t="s">
        <v>24</v>
      </c>
      <c r="H173" s="3" t="s">
        <v>119</v>
      </c>
      <c r="I173" s="3" t="s">
        <v>120</v>
      </c>
      <c r="J173" s="3" t="s">
        <v>89</v>
      </c>
      <c r="K173" s="3" t="s">
        <v>121</v>
      </c>
      <c r="L173" s="3" t="s">
        <v>29</v>
      </c>
      <c r="M173" s="3" t="s">
        <v>23</v>
      </c>
      <c r="N173" s="4" t="n">
        <v>48</v>
      </c>
      <c r="O173" s="5" t="n">
        <v>10.58</v>
      </c>
      <c r="P173" s="6" t="n">
        <v>0.1</v>
      </c>
      <c r="Q173" s="5" t="n">
        <f aca="false">N173*O173*(1-P173)</f>
        <v>457.056</v>
      </c>
      <c r="R173" s="5" t="n">
        <v>322.8</v>
      </c>
      <c r="S173" s="6" t="n">
        <f aca="false">IFERROR((Q173-R173)/Q173,0)</f>
        <v>0.293740810754043</v>
      </c>
    </row>
    <row r="174" customFormat="false" ht="15" hidden="false" customHeight="false" outlineLevel="0" collapsed="false">
      <c r="A174" s="2" t="n">
        <v>45476</v>
      </c>
      <c r="B174" s="3" t="s">
        <v>260</v>
      </c>
      <c r="C174" s="3" t="s">
        <v>155</v>
      </c>
      <c r="D174" s="3" t="s">
        <v>156</v>
      </c>
      <c r="E174" s="3" t="s">
        <v>157</v>
      </c>
      <c r="F174" s="3" t="s">
        <v>38</v>
      </c>
      <c r="G174" s="3" t="s">
        <v>39</v>
      </c>
      <c r="H174" s="3" t="s">
        <v>65</v>
      </c>
      <c r="I174" s="3" t="s">
        <v>66</v>
      </c>
      <c r="J174" s="3" t="s">
        <v>67</v>
      </c>
      <c r="K174" s="3" t="s">
        <v>68</v>
      </c>
      <c r="L174" s="3" t="s">
        <v>40</v>
      </c>
      <c r="M174" s="3" t="s">
        <v>38</v>
      </c>
      <c r="N174" s="4" t="n">
        <v>120</v>
      </c>
      <c r="O174" s="5" t="n">
        <v>28.52</v>
      </c>
      <c r="P174" s="6" t="n">
        <v>0</v>
      </c>
      <c r="Q174" s="5" t="n">
        <f aca="false">N174*O174*(1-P174)</f>
        <v>3422.4</v>
      </c>
      <c r="R174" s="5" t="n">
        <v>2078.96</v>
      </c>
      <c r="S174" s="6" t="n">
        <f aca="false">IFERROR((Q174-R174)/Q174,0)</f>
        <v>0.392543244506779</v>
      </c>
    </row>
    <row r="175" customFormat="false" ht="15" hidden="false" customHeight="false" outlineLevel="0" collapsed="false">
      <c r="A175" s="2" t="n">
        <v>45476</v>
      </c>
      <c r="B175" s="3" t="s">
        <v>260</v>
      </c>
      <c r="C175" s="3" t="s">
        <v>155</v>
      </c>
      <c r="D175" s="3" t="s">
        <v>156</v>
      </c>
      <c r="E175" s="3" t="s">
        <v>157</v>
      </c>
      <c r="F175" s="3" t="s">
        <v>38</v>
      </c>
      <c r="G175" s="3" t="s">
        <v>39</v>
      </c>
      <c r="H175" s="3" t="s">
        <v>108</v>
      </c>
      <c r="I175" s="3" t="s">
        <v>109</v>
      </c>
      <c r="J175" s="3" t="s">
        <v>48</v>
      </c>
      <c r="K175" s="3" t="s">
        <v>110</v>
      </c>
      <c r="L175" s="3" t="s">
        <v>40</v>
      </c>
      <c r="M175" s="3" t="s">
        <v>38</v>
      </c>
      <c r="N175" s="4" t="n">
        <v>120</v>
      </c>
      <c r="O175" s="5" t="n">
        <v>7.31</v>
      </c>
      <c r="P175" s="6" t="n">
        <v>0</v>
      </c>
      <c r="Q175" s="5" t="n">
        <f aca="false">N175*O175*(1-P175)</f>
        <v>877.2</v>
      </c>
      <c r="R175" s="5" t="n">
        <v>525.51</v>
      </c>
      <c r="S175" s="6" t="n">
        <f aca="false">IFERROR((Q175-R175)/Q175,0)</f>
        <v>0.400923392612859</v>
      </c>
    </row>
    <row r="176" customFormat="false" ht="15" hidden="false" customHeight="false" outlineLevel="0" collapsed="false">
      <c r="A176" s="2" t="n">
        <v>45477</v>
      </c>
      <c r="B176" s="3" t="s">
        <v>261</v>
      </c>
      <c r="C176" s="3" t="s">
        <v>209</v>
      </c>
      <c r="D176" s="3" t="s">
        <v>210</v>
      </c>
      <c r="E176" s="3" t="s">
        <v>211</v>
      </c>
      <c r="F176" s="3" t="s">
        <v>23</v>
      </c>
      <c r="G176" s="3" t="s">
        <v>95</v>
      </c>
      <c r="H176" s="3" t="s">
        <v>171</v>
      </c>
      <c r="I176" s="3" t="s">
        <v>172</v>
      </c>
      <c r="J176" s="3" t="s">
        <v>27</v>
      </c>
      <c r="K176" s="3" t="s">
        <v>140</v>
      </c>
      <c r="L176" s="3" t="s">
        <v>29</v>
      </c>
      <c r="M176" s="3" t="s">
        <v>23</v>
      </c>
      <c r="N176" s="4" t="n">
        <v>24</v>
      </c>
      <c r="O176" s="5" t="n">
        <v>4.02</v>
      </c>
      <c r="P176" s="6" t="n">
        <v>0.1</v>
      </c>
      <c r="Q176" s="5" t="n">
        <f aca="false">N176*O176*(1-P176)</f>
        <v>86.832</v>
      </c>
      <c r="R176" s="5" t="n">
        <v>58.86</v>
      </c>
      <c r="S176" s="6" t="n">
        <f aca="false">IFERROR((Q176-R176)/Q176,0)</f>
        <v>0.322139303482587</v>
      </c>
    </row>
    <row r="177" customFormat="false" ht="15" hidden="false" customHeight="false" outlineLevel="0" collapsed="false">
      <c r="A177" s="2" t="n">
        <v>45477</v>
      </c>
      <c r="B177" s="3" t="s">
        <v>261</v>
      </c>
      <c r="C177" s="3" t="s">
        <v>209</v>
      </c>
      <c r="D177" s="3" t="s">
        <v>210</v>
      </c>
      <c r="E177" s="3" t="s">
        <v>211</v>
      </c>
      <c r="F177" s="3" t="s">
        <v>23</v>
      </c>
      <c r="G177" s="3" t="s">
        <v>95</v>
      </c>
      <c r="H177" s="3" t="s">
        <v>112</v>
      </c>
      <c r="I177" s="3" t="s">
        <v>113</v>
      </c>
      <c r="J177" s="3" t="s">
        <v>67</v>
      </c>
      <c r="K177" s="3" t="s">
        <v>114</v>
      </c>
      <c r="L177" s="3" t="s">
        <v>29</v>
      </c>
      <c r="M177" s="3" t="s">
        <v>23</v>
      </c>
      <c r="N177" s="4" t="n">
        <v>72</v>
      </c>
      <c r="O177" s="5" t="n">
        <v>9.75</v>
      </c>
      <c r="P177" s="6" t="n">
        <v>0.15</v>
      </c>
      <c r="Q177" s="5" t="n">
        <f aca="false">N177*O177*(1-P177)</f>
        <v>596.7</v>
      </c>
      <c r="R177" s="5" t="n">
        <v>418.51</v>
      </c>
      <c r="S177" s="6" t="n">
        <f aca="false">IFERROR((Q177-R177)/Q177,0)</f>
        <v>0.298625775096363</v>
      </c>
    </row>
    <row r="178" customFormat="false" ht="15" hidden="false" customHeight="false" outlineLevel="0" collapsed="false">
      <c r="A178" s="2" t="n">
        <v>45479</v>
      </c>
      <c r="B178" s="3" t="s">
        <v>262</v>
      </c>
      <c r="C178" s="3" t="s">
        <v>253</v>
      </c>
      <c r="D178" s="3" t="s">
        <v>254</v>
      </c>
      <c r="E178" s="3" t="s">
        <v>255</v>
      </c>
      <c r="F178" s="3" t="s">
        <v>38</v>
      </c>
      <c r="G178" s="3" t="s">
        <v>95</v>
      </c>
      <c r="H178" s="3" t="s">
        <v>46</v>
      </c>
      <c r="I178" s="3" t="s">
        <v>47</v>
      </c>
      <c r="J178" s="3" t="s">
        <v>48</v>
      </c>
      <c r="K178" s="3" t="s">
        <v>49</v>
      </c>
      <c r="L178" s="3" t="s">
        <v>40</v>
      </c>
      <c r="M178" s="3" t="s">
        <v>38</v>
      </c>
      <c r="N178" s="4" t="n">
        <v>12</v>
      </c>
      <c r="O178" s="5" t="n">
        <v>14.32</v>
      </c>
      <c r="P178" s="6" t="n">
        <v>0</v>
      </c>
      <c r="Q178" s="5" t="n">
        <f aca="false">N178*O178*(1-P178)</f>
        <v>171.84</v>
      </c>
      <c r="R178" s="5" t="n">
        <v>112.8</v>
      </c>
      <c r="S178" s="6" t="n">
        <f aca="false">IFERROR((Q178-R178)/Q178,0)</f>
        <v>0.343575418994413</v>
      </c>
    </row>
    <row r="179" customFormat="false" ht="15" hidden="false" customHeight="false" outlineLevel="0" collapsed="false">
      <c r="A179" s="2" t="n">
        <v>45479</v>
      </c>
      <c r="B179" s="3" t="s">
        <v>262</v>
      </c>
      <c r="C179" s="3" t="s">
        <v>253</v>
      </c>
      <c r="D179" s="3" t="s">
        <v>254</v>
      </c>
      <c r="E179" s="3" t="s">
        <v>255</v>
      </c>
      <c r="F179" s="3" t="s">
        <v>38</v>
      </c>
      <c r="G179" s="3" t="s">
        <v>95</v>
      </c>
      <c r="H179" s="3" t="s">
        <v>84</v>
      </c>
      <c r="I179" s="3" t="s">
        <v>85</v>
      </c>
      <c r="J179" s="3" t="s">
        <v>56</v>
      </c>
      <c r="K179" s="3" t="s">
        <v>86</v>
      </c>
      <c r="L179" s="3" t="s">
        <v>40</v>
      </c>
      <c r="M179" s="3" t="s">
        <v>38</v>
      </c>
      <c r="N179" s="4" t="n">
        <v>12</v>
      </c>
      <c r="O179" s="5" t="n">
        <v>5</v>
      </c>
      <c r="P179" s="6" t="n">
        <v>0</v>
      </c>
      <c r="Q179" s="5" t="n">
        <f aca="false">N179*O179*(1-P179)</f>
        <v>60</v>
      </c>
      <c r="R179" s="5" t="n">
        <v>37.5</v>
      </c>
      <c r="S179" s="6" t="n">
        <f aca="false">IFERROR((Q179-R179)/Q179,0)</f>
        <v>0.375</v>
      </c>
    </row>
    <row r="180" customFormat="false" ht="15" hidden="false" customHeight="false" outlineLevel="0" collapsed="false">
      <c r="A180" s="2" t="n">
        <v>45479</v>
      </c>
      <c r="B180" s="3" t="s">
        <v>262</v>
      </c>
      <c r="C180" s="3" t="s">
        <v>253</v>
      </c>
      <c r="D180" s="3" t="s">
        <v>254</v>
      </c>
      <c r="E180" s="3" t="s">
        <v>255</v>
      </c>
      <c r="F180" s="3" t="s">
        <v>38</v>
      </c>
      <c r="G180" s="3" t="s">
        <v>95</v>
      </c>
      <c r="H180" s="3" t="s">
        <v>65</v>
      </c>
      <c r="I180" s="3" t="s">
        <v>66</v>
      </c>
      <c r="J180" s="3" t="s">
        <v>67</v>
      </c>
      <c r="K180" s="3" t="s">
        <v>68</v>
      </c>
      <c r="L180" s="3" t="s">
        <v>40</v>
      </c>
      <c r="M180" s="3" t="s">
        <v>38</v>
      </c>
      <c r="N180" s="4" t="n">
        <v>60</v>
      </c>
      <c r="O180" s="5" t="n">
        <v>29.38</v>
      </c>
      <c r="P180" s="6" t="n">
        <v>0.1</v>
      </c>
      <c r="Q180" s="5" t="n">
        <f aca="false">N180*O180*(1-P180)</f>
        <v>1586.52</v>
      </c>
      <c r="R180" s="5" t="n">
        <v>1019.62</v>
      </c>
      <c r="S180" s="6" t="n">
        <f aca="false">IFERROR((Q180-R180)/Q180,0)</f>
        <v>0.357322945818521</v>
      </c>
    </row>
    <row r="181" customFormat="false" ht="15" hidden="false" customHeight="false" outlineLevel="0" collapsed="false">
      <c r="A181" s="2" t="n">
        <v>45479</v>
      </c>
      <c r="B181" s="3" t="s">
        <v>262</v>
      </c>
      <c r="C181" s="3" t="s">
        <v>253</v>
      </c>
      <c r="D181" s="3" t="s">
        <v>254</v>
      </c>
      <c r="E181" s="3" t="s">
        <v>255</v>
      </c>
      <c r="F181" s="3" t="s">
        <v>38</v>
      </c>
      <c r="G181" s="3" t="s">
        <v>95</v>
      </c>
      <c r="H181" s="3" t="s">
        <v>126</v>
      </c>
      <c r="I181" s="3" t="s">
        <v>127</v>
      </c>
      <c r="J181" s="3" t="s">
        <v>67</v>
      </c>
      <c r="K181" s="3" t="s">
        <v>128</v>
      </c>
      <c r="L181" s="3" t="s">
        <v>40</v>
      </c>
      <c r="M181" s="3" t="s">
        <v>38</v>
      </c>
      <c r="N181" s="4" t="n">
        <v>12</v>
      </c>
      <c r="O181" s="5" t="n">
        <v>6.45</v>
      </c>
      <c r="P181" s="6" t="n">
        <v>0.1</v>
      </c>
      <c r="Q181" s="5" t="n">
        <f aca="false">N181*O181*(1-P181)</f>
        <v>69.66</v>
      </c>
      <c r="R181" s="5" t="n">
        <v>46.51</v>
      </c>
      <c r="S181" s="6" t="n">
        <f aca="false">IFERROR((Q181-R181)/Q181,0)</f>
        <v>0.332328452483491</v>
      </c>
    </row>
    <row r="182" customFormat="false" ht="15" hidden="false" customHeight="false" outlineLevel="0" collapsed="false">
      <c r="A182" s="2" t="n">
        <v>45479</v>
      </c>
      <c r="B182" s="3" t="s">
        <v>263</v>
      </c>
      <c r="C182" s="3" t="s">
        <v>116</v>
      </c>
      <c r="D182" s="3" t="s">
        <v>117</v>
      </c>
      <c r="E182" s="3" t="s">
        <v>118</v>
      </c>
      <c r="F182" s="3" t="s">
        <v>45</v>
      </c>
      <c r="G182" s="3" t="s">
        <v>39</v>
      </c>
      <c r="H182" s="3" t="s">
        <v>112</v>
      </c>
      <c r="I182" s="3" t="s">
        <v>113</v>
      </c>
      <c r="J182" s="3" t="s">
        <v>67</v>
      </c>
      <c r="K182" s="3" t="s">
        <v>114</v>
      </c>
      <c r="L182" s="3" t="s">
        <v>50</v>
      </c>
      <c r="M182" s="3" t="s">
        <v>45</v>
      </c>
      <c r="N182" s="4" t="n">
        <v>96</v>
      </c>
      <c r="O182" s="5" t="n">
        <v>9.8</v>
      </c>
      <c r="P182" s="6" t="n">
        <v>0</v>
      </c>
      <c r="Q182" s="5" t="n">
        <f aca="false">N182*O182*(1-P182)</f>
        <v>940.8</v>
      </c>
      <c r="R182" s="5" t="n">
        <v>555.95</v>
      </c>
      <c r="S182" s="6" t="n">
        <f aca="false">IFERROR((Q182-R182)/Q182,0)</f>
        <v>0.40906675170068</v>
      </c>
    </row>
    <row r="183" customFormat="false" ht="15" hidden="false" customHeight="false" outlineLevel="0" collapsed="false">
      <c r="A183" s="2" t="n">
        <v>45479</v>
      </c>
      <c r="B183" s="3" t="s">
        <v>263</v>
      </c>
      <c r="C183" s="3" t="s">
        <v>116</v>
      </c>
      <c r="D183" s="3" t="s">
        <v>117</v>
      </c>
      <c r="E183" s="3" t="s">
        <v>118</v>
      </c>
      <c r="F183" s="3" t="s">
        <v>45</v>
      </c>
      <c r="G183" s="3" t="s">
        <v>39</v>
      </c>
      <c r="H183" s="3" t="s">
        <v>54</v>
      </c>
      <c r="I183" s="3" t="s">
        <v>55</v>
      </c>
      <c r="J183" s="3" t="s">
        <v>56</v>
      </c>
      <c r="K183" s="3" t="s">
        <v>57</v>
      </c>
      <c r="L183" s="3" t="s">
        <v>50</v>
      </c>
      <c r="M183" s="3" t="s">
        <v>45</v>
      </c>
      <c r="N183" s="4" t="n">
        <v>120</v>
      </c>
      <c r="O183" s="5" t="n">
        <v>4.81</v>
      </c>
      <c r="P183" s="6" t="n">
        <v>0</v>
      </c>
      <c r="Q183" s="5" t="n">
        <f aca="false">N183*O183*(1-P183)</f>
        <v>577.2</v>
      </c>
      <c r="R183" s="5" t="n">
        <v>349.48</v>
      </c>
      <c r="S183" s="6" t="n">
        <f aca="false">IFERROR((Q183-R183)/Q183,0)</f>
        <v>0.394525294525294</v>
      </c>
    </row>
    <row r="184" customFormat="false" ht="15" hidden="false" customHeight="false" outlineLevel="0" collapsed="false">
      <c r="A184" s="2" t="n">
        <v>45482</v>
      </c>
      <c r="B184" s="3" t="s">
        <v>264</v>
      </c>
      <c r="C184" s="3" t="s">
        <v>70</v>
      </c>
      <c r="D184" s="3" t="s">
        <v>71</v>
      </c>
      <c r="E184" s="3" t="s">
        <v>72</v>
      </c>
      <c r="F184" s="3" t="s">
        <v>45</v>
      </c>
      <c r="G184" s="3" t="s">
        <v>39</v>
      </c>
      <c r="H184" s="3" t="s">
        <v>46</v>
      </c>
      <c r="I184" s="3" t="s">
        <v>47</v>
      </c>
      <c r="J184" s="3" t="s">
        <v>48</v>
      </c>
      <c r="K184" s="3" t="s">
        <v>49</v>
      </c>
      <c r="L184" s="3" t="s">
        <v>50</v>
      </c>
      <c r="M184" s="3" t="s">
        <v>45</v>
      </c>
      <c r="N184" s="4" t="n">
        <v>60</v>
      </c>
      <c r="O184" s="5" t="n">
        <v>15.03</v>
      </c>
      <c r="P184" s="6" t="n">
        <v>0.1</v>
      </c>
      <c r="Q184" s="5" t="n">
        <f aca="false">N184*O184*(1-P184)</f>
        <v>811.62</v>
      </c>
      <c r="R184" s="5" t="n">
        <v>572.08</v>
      </c>
      <c r="S184" s="6" t="n">
        <f aca="false">IFERROR((Q184-R184)/Q184,0)</f>
        <v>0.29513811882408</v>
      </c>
    </row>
    <row r="185" customFormat="false" ht="15" hidden="false" customHeight="false" outlineLevel="0" collapsed="false">
      <c r="A185" s="2" t="n">
        <v>45486</v>
      </c>
      <c r="B185" s="3" t="s">
        <v>265</v>
      </c>
      <c r="C185" s="3" t="s">
        <v>116</v>
      </c>
      <c r="D185" s="3" t="s">
        <v>117</v>
      </c>
      <c r="E185" s="3" t="s">
        <v>118</v>
      </c>
      <c r="F185" s="3" t="s">
        <v>45</v>
      </c>
      <c r="G185" s="3" t="s">
        <v>39</v>
      </c>
      <c r="H185" s="3" t="s">
        <v>87</v>
      </c>
      <c r="I185" s="3" t="s">
        <v>88</v>
      </c>
      <c r="J185" s="3" t="s">
        <v>89</v>
      </c>
      <c r="K185" s="3" t="s">
        <v>90</v>
      </c>
      <c r="L185" s="3" t="s">
        <v>50</v>
      </c>
      <c r="M185" s="3" t="s">
        <v>45</v>
      </c>
      <c r="N185" s="4" t="n">
        <v>60</v>
      </c>
      <c r="O185" s="5" t="n">
        <v>16.13</v>
      </c>
      <c r="P185" s="6" t="n">
        <v>0.1</v>
      </c>
      <c r="Q185" s="5" t="n">
        <f aca="false">N185*O185*(1-P185)</f>
        <v>871.02</v>
      </c>
      <c r="R185" s="5" t="n">
        <v>605.18</v>
      </c>
      <c r="S185" s="6" t="n">
        <f aca="false">IFERROR((Q185-R185)/Q185,0)</f>
        <v>0.305205391380221</v>
      </c>
    </row>
    <row r="186" customFormat="false" ht="15" hidden="false" customHeight="false" outlineLevel="0" collapsed="false">
      <c r="A186" s="2" t="n">
        <v>45486</v>
      </c>
      <c r="B186" s="3" t="s">
        <v>265</v>
      </c>
      <c r="C186" s="3" t="s">
        <v>116</v>
      </c>
      <c r="D186" s="3" t="s">
        <v>117</v>
      </c>
      <c r="E186" s="3" t="s">
        <v>118</v>
      </c>
      <c r="F186" s="3" t="s">
        <v>45</v>
      </c>
      <c r="G186" s="3" t="s">
        <v>39</v>
      </c>
      <c r="H186" s="3" t="s">
        <v>84</v>
      </c>
      <c r="I186" s="3" t="s">
        <v>85</v>
      </c>
      <c r="J186" s="3" t="s">
        <v>56</v>
      </c>
      <c r="K186" s="3" t="s">
        <v>86</v>
      </c>
      <c r="L186" s="3" t="s">
        <v>50</v>
      </c>
      <c r="M186" s="3" t="s">
        <v>45</v>
      </c>
      <c r="N186" s="4" t="n">
        <v>120</v>
      </c>
      <c r="O186" s="5" t="n">
        <v>5.42</v>
      </c>
      <c r="P186" s="6" t="n">
        <v>0.05</v>
      </c>
      <c r="Q186" s="5" t="n">
        <f aca="false">N186*O186*(1-P186)</f>
        <v>617.88</v>
      </c>
      <c r="R186" s="5" t="n">
        <v>378.17</v>
      </c>
      <c r="S186" s="6" t="n">
        <f aca="false">IFERROR((Q186-R186)/Q186,0)</f>
        <v>0.387955590082217</v>
      </c>
    </row>
    <row r="187" customFormat="false" ht="15" hidden="false" customHeight="false" outlineLevel="0" collapsed="false">
      <c r="A187" s="2" t="n">
        <v>45486</v>
      </c>
      <c r="B187" s="3" t="s">
        <v>265</v>
      </c>
      <c r="C187" s="3" t="s">
        <v>116</v>
      </c>
      <c r="D187" s="3" t="s">
        <v>117</v>
      </c>
      <c r="E187" s="3" t="s">
        <v>118</v>
      </c>
      <c r="F187" s="3" t="s">
        <v>45</v>
      </c>
      <c r="G187" s="3" t="s">
        <v>39</v>
      </c>
      <c r="H187" s="3" t="s">
        <v>108</v>
      </c>
      <c r="I187" s="3" t="s">
        <v>109</v>
      </c>
      <c r="J187" s="3" t="s">
        <v>48</v>
      </c>
      <c r="K187" s="3" t="s">
        <v>110</v>
      </c>
      <c r="L187" s="3" t="s">
        <v>50</v>
      </c>
      <c r="M187" s="3" t="s">
        <v>45</v>
      </c>
      <c r="N187" s="4" t="n">
        <v>96</v>
      </c>
      <c r="O187" s="5" t="n">
        <v>6.68</v>
      </c>
      <c r="P187" s="6" t="n">
        <v>0</v>
      </c>
      <c r="Q187" s="5" t="n">
        <f aca="false">N187*O187*(1-P187)</f>
        <v>641.28</v>
      </c>
      <c r="R187" s="5" t="n">
        <v>416.78</v>
      </c>
      <c r="S187" s="6" t="n">
        <f aca="false">IFERROR((Q187-R187)/Q187,0)</f>
        <v>0.350081087824351</v>
      </c>
    </row>
    <row r="188" customFormat="false" ht="15" hidden="false" customHeight="false" outlineLevel="0" collapsed="false">
      <c r="A188" s="2" t="n">
        <v>45486</v>
      </c>
      <c r="B188" s="3" t="s">
        <v>265</v>
      </c>
      <c r="C188" s="3" t="s">
        <v>116</v>
      </c>
      <c r="D188" s="3" t="s">
        <v>117</v>
      </c>
      <c r="E188" s="3" t="s">
        <v>118</v>
      </c>
      <c r="F188" s="3" t="s">
        <v>45</v>
      </c>
      <c r="G188" s="3" t="s">
        <v>39</v>
      </c>
      <c r="H188" s="3" t="s">
        <v>73</v>
      </c>
      <c r="I188" s="3" t="s">
        <v>74</v>
      </c>
      <c r="J188" s="3" t="s">
        <v>48</v>
      </c>
      <c r="K188" s="3" t="s">
        <v>75</v>
      </c>
      <c r="L188" s="3" t="s">
        <v>50</v>
      </c>
      <c r="M188" s="3" t="s">
        <v>45</v>
      </c>
      <c r="N188" s="4" t="n">
        <v>96</v>
      </c>
      <c r="O188" s="5" t="n">
        <v>8.61</v>
      </c>
      <c r="P188" s="6" t="n">
        <v>0</v>
      </c>
      <c r="Q188" s="5" t="n">
        <f aca="false">N188*O188*(1-P188)</f>
        <v>826.56</v>
      </c>
      <c r="R188" s="5" t="n">
        <v>514.87</v>
      </c>
      <c r="S188" s="6" t="n">
        <f aca="false">IFERROR((Q188-R188)/Q188,0)</f>
        <v>0.377093012001549</v>
      </c>
    </row>
    <row r="189" customFormat="false" ht="15" hidden="false" customHeight="false" outlineLevel="0" collapsed="false">
      <c r="A189" s="2" t="n">
        <v>45487</v>
      </c>
      <c r="B189" s="3" t="s">
        <v>266</v>
      </c>
      <c r="C189" s="3" t="s">
        <v>70</v>
      </c>
      <c r="D189" s="3" t="s">
        <v>71</v>
      </c>
      <c r="E189" s="3" t="s">
        <v>72</v>
      </c>
      <c r="F189" s="3" t="s">
        <v>45</v>
      </c>
      <c r="G189" s="3" t="s">
        <v>39</v>
      </c>
      <c r="H189" s="3" t="s">
        <v>119</v>
      </c>
      <c r="I189" s="3" t="s">
        <v>120</v>
      </c>
      <c r="J189" s="3" t="s">
        <v>89</v>
      </c>
      <c r="K189" s="3" t="s">
        <v>121</v>
      </c>
      <c r="L189" s="3" t="s">
        <v>50</v>
      </c>
      <c r="M189" s="3" t="s">
        <v>45</v>
      </c>
      <c r="N189" s="4" t="n">
        <v>60</v>
      </c>
      <c r="O189" s="5" t="n">
        <v>10.34</v>
      </c>
      <c r="P189" s="6" t="n">
        <v>0.05</v>
      </c>
      <c r="Q189" s="5" t="n">
        <f aca="false">N189*O189*(1-P189)</f>
        <v>589.38</v>
      </c>
      <c r="R189" s="5" t="n">
        <v>404.32</v>
      </c>
      <c r="S189" s="6" t="n">
        <f aca="false">IFERROR((Q189-R189)/Q189,0)</f>
        <v>0.313990973565442</v>
      </c>
    </row>
    <row r="190" customFormat="false" ht="15" hidden="false" customHeight="false" outlineLevel="0" collapsed="false">
      <c r="A190" s="2" t="n">
        <v>45487</v>
      </c>
      <c r="B190" s="3" t="s">
        <v>266</v>
      </c>
      <c r="C190" s="3" t="s">
        <v>70</v>
      </c>
      <c r="D190" s="3" t="s">
        <v>71</v>
      </c>
      <c r="E190" s="3" t="s">
        <v>72</v>
      </c>
      <c r="F190" s="3" t="s">
        <v>45</v>
      </c>
      <c r="G190" s="3" t="s">
        <v>39</v>
      </c>
      <c r="H190" s="3" t="s">
        <v>73</v>
      </c>
      <c r="I190" s="3" t="s">
        <v>74</v>
      </c>
      <c r="J190" s="3" t="s">
        <v>48</v>
      </c>
      <c r="K190" s="3" t="s">
        <v>75</v>
      </c>
      <c r="L190" s="3" t="s">
        <v>50</v>
      </c>
      <c r="M190" s="3" t="s">
        <v>45</v>
      </c>
      <c r="N190" s="4" t="n">
        <v>6</v>
      </c>
      <c r="O190" s="5" t="n">
        <v>9.48</v>
      </c>
      <c r="P190" s="6" t="n">
        <v>0.1</v>
      </c>
      <c r="Q190" s="5" t="n">
        <f aca="false">N190*O190*(1-P190)</f>
        <v>51.192</v>
      </c>
      <c r="R190" s="5" t="n">
        <v>32.83</v>
      </c>
      <c r="S190" s="6" t="n">
        <f aca="false">IFERROR((Q190-R190)/Q190,0)</f>
        <v>0.358688857634005</v>
      </c>
    </row>
    <row r="191" customFormat="false" ht="15" hidden="false" customHeight="false" outlineLevel="0" collapsed="false">
      <c r="A191" s="2" t="n">
        <v>45487</v>
      </c>
      <c r="B191" s="3" t="s">
        <v>266</v>
      </c>
      <c r="C191" s="3" t="s">
        <v>70</v>
      </c>
      <c r="D191" s="3" t="s">
        <v>71</v>
      </c>
      <c r="E191" s="3" t="s">
        <v>72</v>
      </c>
      <c r="F191" s="3" t="s">
        <v>45</v>
      </c>
      <c r="G191" s="3" t="s">
        <v>39</v>
      </c>
      <c r="H191" s="3" t="s">
        <v>25</v>
      </c>
      <c r="I191" s="3" t="s">
        <v>26</v>
      </c>
      <c r="J191" s="3" t="s">
        <v>27</v>
      </c>
      <c r="K191" s="3" t="s">
        <v>28</v>
      </c>
      <c r="L191" s="3" t="s">
        <v>50</v>
      </c>
      <c r="M191" s="3" t="s">
        <v>45</v>
      </c>
      <c r="N191" s="4" t="n">
        <v>48</v>
      </c>
      <c r="O191" s="5" t="n">
        <v>6.92</v>
      </c>
      <c r="P191" s="6" t="n">
        <v>0.05</v>
      </c>
      <c r="Q191" s="5" t="n">
        <f aca="false">N191*O191*(1-P191)</f>
        <v>315.552</v>
      </c>
      <c r="R191" s="5" t="n">
        <v>194.59</v>
      </c>
      <c r="S191" s="6" t="n">
        <f aca="false">IFERROR((Q191-R191)/Q191,0)</f>
        <v>0.38333460095325</v>
      </c>
    </row>
    <row r="192" customFormat="false" ht="15" hidden="false" customHeight="false" outlineLevel="0" collapsed="false">
      <c r="A192" s="2" t="n">
        <v>45487</v>
      </c>
      <c r="B192" s="3" t="s">
        <v>267</v>
      </c>
      <c r="C192" s="3" t="s">
        <v>209</v>
      </c>
      <c r="D192" s="3" t="s">
        <v>210</v>
      </c>
      <c r="E192" s="3" t="s">
        <v>211</v>
      </c>
      <c r="F192" s="3" t="s">
        <v>23</v>
      </c>
      <c r="G192" s="3" t="s">
        <v>95</v>
      </c>
      <c r="H192" s="3" t="s">
        <v>173</v>
      </c>
      <c r="I192" s="3" t="s">
        <v>174</v>
      </c>
      <c r="J192" s="3" t="s">
        <v>27</v>
      </c>
      <c r="K192" s="3" t="s">
        <v>175</v>
      </c>
      <c r="L192" s="3" t="s">
        <v>29</v>
      </c>
      <c r="M192" s="3" t="s">
        <v>23</v>
      </c>
      <c r="N192" s="4" t="n">
        <v>24</v>
      </c>
      <c r="O192" s="5" t="n">
        <v>18.24</v>
      </c>
      <c r="P192" s="6" t="n">
        <v>0.05</v>
      </c>
      <c r="Q192" s="5" t="n">
        <f aca="false">N192*O192*(1-P192)</f>
        <v>415.872</v>
      </c>
      <c r="R192" s="5" t="n">
        <v>259.97</v>
      </c>
      <c r="S192" s="6" t="n">
        <f aca="false">IFERROR((Q192-R192)/Q192,0)</f>
        <v>0.374879770698676</v>
      </c>
    </row>
    <row r="193" customFormat="false" ht="15" hidden="false" customHeight="false" outlineLevel="0" collapsed="false">
      <c r="A193" s="2" t="n">
        <v>45487</v>
      </c>
      <c r="B193" s="3" t="s">
        <v>267</v>
      </c>
      <c r="C193" s="3" t="s">
        <v>209</v>
      </c>
      <c r="D193" s="3" t="s">
        <v>210</v>
      </c>
      <c r="E193" s="3" t="s">
        <v>211</v>
      </c>
      <c r="F193" s="3" t="s">
        <v>23</v>
      </c>
      <c r="G193" s="3" t="s">
        <v>95</v>
      </c>
      <c r="H193" s="3" t="s">
        <v>98</v>
      </c>
      <c r="I193" s="3" t="s">
        <v>99</v>
      </c>
      <c r="J193" s="3" t="s">
        <v>89</v>
      </c>
      <c r="K193" s="3" t="s">
        <v>100</v>
      </c>
      <c r="L193" s="3" t="s">
        <v>29</v>
      </c>
      <c r="M193" s="3" t="s">
        <v>23</v>
      </c>
      <c r="N193" s="4" t="n">
        <v>96</v>
      </c>
      <c r="O193" s="5" t="n">
        <v>22.91</v>
      </c>
      <c r="P193" s="6" t="n">
        <v>0</v>
      </c>
      <c r="Q193" s="5" t="n">
        <f aca="false">N193*O193*(1-P193)</f>
        <v>2199.36</v>
      </c>
      <c r="R193" s="5" t="n">
        <v>1362</v>
      </c>
      <c r="S193" s="6" t="n">
        <f aca="false">IFERROR((Q193-R193)/Q193,0)</f>
        <v>0.380728939327805</v>
      </c>
    </row>
    <row r="194" customFormat="false" ht="15" hidden="false" customHeight="false" outlineLevel="0" collapsed="false">
      <c r="A194" s="2" t="n">
        <v>45487</v>
      </c>
      <c r="B194" s="3" t="s">
        <v>267</v>
      </c>
      <c r="C194" s="3" t="s">
        <v>209</v>
      </c>
      <c r="D194" s="3" t="s">
        <v>210</v>
      </c>
      <c r="E194" s="3" t="s">
        <v>211</v>
      </c>
      <c r="F194" s="3" t="s">
        <v>23</v>
      </c>
      <c r="G194" s="3" t="s">
        <v>95</v>
      </c>
      <c r="H194" s="3" t="s">
        <v>58</v>
      </c>
      <c r="I194" s="3" t="s">
        <v>59</v>
      </c>
      <c r="J194" s="3" t="s">
        <v>32</v>
      </c>
      <c r="K194" s="3" t="s">
        <v>60</v>
      </c>
      <c r="L194" s="3" t="s">
        <v>29</v>
      </c>
      <c r="M194" s="3" t="s">
        <v>23</v>
      </c>
      <c r="N194" s="4" t="n">
        <v>60</v>
      </c>
      <c r="O194" s="5" t="n">
        <v>5.77</v>
      </c>
      <c r="P194" s="6" t="n">
        <v>0.15</v>
      </c>
      <c r="Q194" s="5" t="n">
        <f aca="false">N194*O194*(1-P194)</f>
        <v>294.27</v>
      </c>
      <c r="R194" s="5" t="n">
        <v>203.38</v>
      </c>
      <c r="S194" s="6" t="n">
        <f aca="false">IFERROR((Q194-R194)/Q194,0)</f>
        <v>0.308866007408163</v>
      </c>
    </row>
    <row r="195" customFormat="false" ht="15" hidden="false" customHeight="false" outlineLevel="0" collapsed="false">
      <c r="A195" s="2" t="n">
        <v>45487</v>
      </c>
      <c r="B195" s="3" t="s">
        <v>267</v>
      </c>
      <c r="C195" s="3" t="s">
        <v>209</v>
      </c>
      <c r="D195" s="3" t="s">
        <v>210</v>
      </c>
      <c r="E195" s="3" t="s">
        <v>211</v>
      </c>
      <c r="F195" s="3" t="s">
        <v>23</v>
      </c>
      <c r="G195" s="3" t="s">
        <v>95</v>
      </c>
      <c r="H195" s="3" t="s">
        <v>138</v>
      </c>
      <c r="I195" s="3" t="s">
        <v>139</v>
      </c>
      <c r="J195" s="3" t="s">
        <v>27</v>
      </c>
      <c r="K195" s="3" t="s">
        <v>140</v>
      </c>
      <c r="L195" s="3" t="s">
        <v>29</v>
      </c>
      <c r="M195" s="3" t="s">
        <v>23</v>
      </c>
      <c r="N195" s="4" t="n">
        <v>48</v>
      </c>
      <c r="O195" s="5" t="n">
        <v>3.65</v>
      </c>
      <c r="P195" s="6" t="n">
        <v>0.05</v>
      </c>
      <c r="Q195" s="5" t="n">
        <f aca="false">N195*O195*(1-P195)</f>
        <v>166.44</v>
      </c>
      <c r="R195" s="5" t="n">
        <v>108.88</v>
      </c>
      <c r="S195" s="6" t="n">
        <f aca="false">IFERROR((Q195-R195)/Q195,0)</f>
        <v>0.345830329247777</v>
      </c>
    </row>
    <row r="196" customFormat="false" ht="15" hidden="false" customHeight="false" outlineLevel="0" collapsed="false">
      <c r="A196" s="2" t="n">
        <v>45490</v>
      </c>
      <c r="B196" s="3" t="s">
        <v>268</v>
      </c>
      <c r="C196" s="3" t="s">
        <v>102</v>
      </c>
      <c r="D196" s="3" t="s">
        <v>103</v>
      </c>
      <c r="E196" s="3" t="s">
        <v>104</v>
      </c>
      <c r="F196" s="3" t="s">
        <v>105</v>
      </c>
      <c r="G196" s="3" t="s">
        <v>24</v>
      </c>
      <c r="H196" s="3" t="s">
        <v>87</v>
      </c>
      <c r="I196" s="3" t="s">
        <v>88</v>
      </c>
      <c r="J196" s="3" t="s">
        <v>89</v>
      </c>
      <c r="K196" s="3" t="s">
        <v>90</v>
      </c>
      <c r="L196" s="3" t="s">
        <v>106</v>
      </c>
      <c r="M196" s="3" t="s">
        <v>107</v>
      </c>
      <c r="N196" s="4" t="n">
        <v>120</v>
      </c>
      <c r="O196" s="5" t="n">
        <v>16.69</v>
      </c>
      <c r="P196" s="6" t="n">
        <v>0</v>
      </c>
      <c r="Q196" s="5" t="n">
        <f aca="false">N196*O196*(1-P196)</f>
        <v>2002.8</v>
      </c>
      <c r="R196" s="5" t="n">
        <v>1210.85</v>
      </c>
      <c r="S196" s="6" t="n">
        <f aca="false">IFERROR((Q196-R196)/Q196,0)</f>
        <v>0.395421410025964</v>
      </c>
    </row>
    <row r="197" customFormat="false" ht="15" hidden="false" customHeight="false" outlineLevel="0" collapsed="false">
      <c r="A197" s="2" t="n">
        <v>45490</v>
      </c>
      <c r="B197" s="3" t="s">
        <v>268</v>
      </c>
      <c r="C197" s="3" t="s">
        <v>102</v>
      </c>
      <c r="D197" s="3" t="s">
        <v>103</v>
      </c>
      <c r="E197" s="3" t="s">
        <v>104</v>
      </c>
      <c r="F197" s="3" t="s">
        <v>105</v>
      </c>
      <c r="G197" s="3" t="s">
        <v>24</v>
      </c>
      <c r="H197" s="3" t="s">
        <v>132</v>
      </c>
      <c r="I197" s="3" t="s">
        <v>133</v>
      </c>
      <c r="J197" s="3" t="s">
        <v>27</v>
      </c>
      <c r="K197" s="3" t="s">
        <v>28</v>
      </c>
      <c r="L197" s="3" t="s">
        <v>106</v>
      </c>
      <c r="M197" s="3" t="s">
        <v>107</v>
      </c>
      <c r="N197" s="4" t="n">
        <v>6</v>
      </c>
      <c r="O197" s="5" t="n">
        <v>13.5</v>
      </c>
      <c r="P197" s="6" t="n">
        <v>0.15</v>
      </c>
      <c r="Q197" s="5" t="n">
        <f aca="false">N197*O197*(1-P197)</f>
        <v>68.85</v>
      </c>
      <c r="R197" s="5" t="n">
        <v>49.79</v>
      </c>
      <c r="S197" s="6" t="n">
        <f aca="false">IFERROR((Q197-R197)/Q197,0)</f>
        <v>0.27683369644154</v>
      </c>
    </row>
    <row r="198" customFormat="false" ht="15" hidden="false" customHeight="false" outlineLevel="0" collapsed="false">
      <c r="A198" s="2" t="n">
        <v>45490</v>
      </c>
      <c r="B198" s="3" t="s">
        <v>268</v>
      </c>
      <c r="C198" s="3" t="s">
        <v>102</v>
      </c>
      <c r="D198" s="3" t="s">
        <v>103</v>
      </c>
      <c r="E198" s="3" t="s">
        <v>104</v>
      </c>
      <c r="F198" s="3" t="s">
        <v>105</v>
      </c>
      <c r="G198" s="3" t="s">
        <v>24</v>
      </c>
      <c r="H198" s="3" t="s">
        <v>173</v>
      </c>
      <c r="I198" s="3" t="s">
        <v>174</v>
      </c>
      <c r="J198" s="3" t="s">
        <v>27</v>
      </c>
      <c r="K198" s="3" t="s">
        <v>175</v>
      </c>
      <c r="L198" s="3" t="s">
        <v>106</v>
      </c>
      <c r="M198" s="3" t="s">
        <v>107</v>
      </c>
      <c r="N198" s="4" t="n">
        <v>24</v>
      </c>
      <c r="O198" s="5" t="n">
        <v>16.72</v>
      </c>
      <c r="P198" s="6" t="n">
        <v>0.1</v>
      </c>
      <c r="Q198" s="5" t="n">
        <f aca="false">N198*O198*(1-P198)</f>
        <v>361.152</v>
      </c>
      <c r="R198" s="5" t="n">
        <v>260.55</v>
      </c>
      <c r="S198" s="6" t="n">
        <f aca="false">IFERROR((Q198-R198)/Q198,0)</f>
        <v>0.278558612440191</v>
      </c>
    </row>
    <row r="199" customFormat="false" ht="15" hidden="false" customHeight="false" outlineLevel="0" collapsed="false">
      <c r="A199" s="2" t="n">
        <v>45490</v>
      </c>
      <c r="B199" s="3" t="s">
        <v>268</v>
      </c>
      <c r="C199" s="3" t="s">
        <v>102</v>
      </c>
      <c r="D199" s="3" t="s">
        <v>103</v>
      </c>
      <c r="E199" s="3" t="s">
        <v>104</v>
      </c>
      <c r="F199" s="3" t="s">
        <v>105</v>
      </c>
      <c r="G199" s="3" t="s">
        <v>24</v>
      </c>
      <c r="H199" s="3" t="s">
        <v>98</v>
      </c>
      <c r="I199" s="3" t="s">
        <v>99</v>
      </c>
      <c r="J199" s="3" t="s">
        <v>89</v>
      </c>
      <c r="K199" s="3" t="s">
        <v>100</v>
      </c>
      <c r="L199" s="3" t="s">
        <v>106</v>
      </c>
      <c r="M199" s="3" t="s">
        <v>107</v>
      </c>
      <c r="N199" s="4" t="n">
        <v>48</v>
      </c>
      <c r="O199" s="5" t="n">
        <v>23.93</v>
      </c>
      <c r="P199" s="6" t="n">
        <v>0</v>
      </c>
      <c r="Q199" s="5" t="n">
        <f aca="false">N199*O199*(1-P199)</f>
        <v>1148.64</v>
      </c>
      <c r="R199" s="5" t="n">
        <v>659.71</v>
      </c>
      <c r="S199" s="6" t="n">
        <f aca="false">IFERROR((Q199-R199)/Q199,0)</f>
        <v>0.425659910851093</v>
      </c>
    </row>
    <row r="200" customFormat="false" ht="15" hidden="false" customHeight="false" outlineLevel="0" collapsed="false">
      <c r="A200" s="2" t="n">
        <v>45494</v>
      </c>
      <c r="B200" s="3" t="s">
        <v>269</v>
      </c>
      <c r="C200" s="3" t="s">
        <v>201</v>
      </c>
      <c r="D200" s="3" t="s">
        <v>202</v>
      </c>
      <c r="E200" s="3" t="s">
        <v>203</v>
      </c>
      <c r="F200" s="3" t="s">
        <v>170</v>
      </c>
      <c r="G200" s="3" t="s">
        <v>24</v>
      </c>
      <c r="H200" s="3" t="s">
        <v>65</v>
      </c>
      <c r="I200" s="3" t="s">
        <v>66</v>
      </c>
      <c r="J200" s="3" t="s">
        <v>67</v>
      </c>
      <c r="K200" s="3" t="s">
        <v>68</v>
      </c>
      <c r="L200" s="3" t="s">
        <v>106</v>
      </c>
      <c r="M200" s="3" t="s">
        <v>107</v>
      </c>
      <c r="N200" s="4" t="n">
        <v>12</v>
      </c>
      <c r="O200" s="5" t="n">
        <v>28.29</v>
      </c>
      <c r="P200" s="6" t="n">
        <v>0</v>
      </c>
      <c r="Q200" s="5" t="n">
        <f aca="false">N200*O200*(1-P200)</f>
        <v>339.48</v>
      </c>
      <c r="R200" s="5" t="n">
        <v>207.1</v>
      </c>
      <c r="S200" s="6" t="n">
        <f aca="false">IFERROR((Q200-R200)/Q200,0)</f>
        <v>0.389949334275952</v>
      </c>
    </row>
    <row r="201" customFormat="false" ht="15" hidden="false" customHeight="false" outlineLevel="0" collapsed="false">
      <c r="A201" s="2" t="n">
        <v>45495</v>
      </c>
      <c r="B201" s="3" t="s">
        <v>270</v>
      </c>
      <c r="C201" s="3" t="s">
        <v>161</v>
      </c>
      <c r="D201" s="3" t="s">
        <v>162</v>
      </c>
      <c r="E201" s="3" t="s">
        <v>163</v>
      </c>
      <c r="F201" s="3" t="s">
        <v>38</v>
      </c>
      <c r="G201" s="3" t="s">
        <v>24</v>
      </c>
      <c r="H201" s="3" t="s">
        <v>30</v>
      </c>
      <c r="I201" s="3" t="s">
        <v>31</v>
      </c>
      <c r="J201" s="3" t="s">
        <v>32</v>
      </c>
      <c r="K201" s="3" t="s">
        <v>33</v>
      </c>
      <c r="L201" s="3" t="s">
        <v>40</v>
      </c>
      <c r="M201" s="3" t="s">
        <v>38</v>
      </c>
      <c r="N201" s="4" t="n">
        <v>48</v>
      </c>
      <c r="O201" s="5" t="n">
        <v>24.48</v>
      </c>
      <c r="P201" s="6" t="n">
        <v>0.05</v>
      </c>
      <c r="Q201" s="5" t="n">
        <f aca="false">N201*O201*(1-P201)</f>
        <v>1116.288</v>
      </c>
      <c r="R201" s="5" t="n">
        <v>729.46</v>
      </c>
      <c r="S201" s="6" t="n">
        <f aca="false">IFERROR((Q201-R201)/Q201,0)</f>
        <v>0.346530644421511</v>
      </c>
    </row>
    <row r="202" customFormat="false" ht="15" hidden="false" customHeight="false" outlineLevel="0" collapsed="false">
      <c r="A202" s="2" t="n">
        <v>45495</v>
      </c>
      <c r="B202" s="3" t="s">
        <v>270</v>
      </c>
      <c r="C202" s="3" t="s">
        <v>161</v>
      </c>
      <c r="D202" s="3" t="s">
        <v>162</v>
      </c>
      <c r="E202" s="3" t="s">
        <v>163</v>
      </c>
      <c r="F202" s="3" t="s">
        <v>38</v>
      </c>
      <c r="G202" s="3" t="s">
        <v>24</v>
      </c>
      <c r="H202" s="3" t="s">
        <v>51</v>
      </c>
      <c r="I202" s="3" t="s">
        <v>52</v>
      </c>
      <c r="J202" s="3" t="s">
        <v>27</v>
      </c>
      <c r="K202" s="3" t="s">
        <v>53</v>
      </c>
      <c r="L202" s="3" t="s">
        <v>40</v>
      </c>
      <c r="M202" s="3" t="s">
        <v>38</v>
      </c>
      <c r="N202" s="4" t="n">
        <v>24</v>
      </c>
      <c r="O202" s="5" t="n">
        <v>22.74</v>
      </c>
      <c r="P202" s="6" t="n">
        <v>0.1</v>
      </c>
      <c r="Q202" s="5" t="n">
        <f aca="false">N202*O202*(1-P202)</f>
        <v>491.184</v>
      </c>
      <c r="R202" s="5" t="n">
        <v>339.87</v>
      </c>
      <c r="S202" s="6" t="n">
        <f aca="false">IFERROR((Q202-R202)/Q202,0)</f>
        <v>0.308059708785303</v>
      </c>
    </row>
    <row r="203" customFormat="false" ht="15" hidden="false" customHeight="false" outlineLevel="0" collapsed="false">
      <c r="A203" s="2" t="n">
        <v>45499</v>
      </c>
      <c r="B203" s="3" t="s">
        <v>271</v>
      </c>
      <c r="C203" s="3" t="s">
        <v>177</v>
      </c>
      <c r="D203" s="3" t="s">
        <v>178</v>
      </c>
      <c r="E203" s="3" t="s">
        <v>179</v>
      </c>
      <c r="F203" s="3" t="s">
        <v>180</v>
      </c>
      <c r="G203" s="3" t="s">
        <v>24</v>
      </c>
      <c r="H203" s="3" t="s">
        <v>51</v>
      </c>
      <c r="I203" s="3" t="s">
        <v>52</v>
      </c>
      <c r="J203" s="3" t="s">
        <v>27</v>
      </c>
      <c r="K203" s="3" t="s">
        <v>53</v>
      </c>
      <c r="L203" s="3" t="s">
        <v>181</v>
      </c>
      <c r="M203" s="3" t="s">
        <v>180</v>
      </c>
      <c r="N203" s="4" t="n">
        <v>24</v>
      </c>
      <c r="O203" s="5" t="n">
        <v>24.23</v>
      </c>
      <c r="P203" s="6" t="n">
        <v>0.15</v>
      </c>
      <c r="Q203" s="5" t="n">
        <f aca="false">N203*O203*(1-P203)</f>
        <v>494.292</v>
      </c>
      <c r="R203" s="5" t="n">
        <v>329.64</v>
      </c>
      <c r="S203" s="6" t="n">
        <f aca="false">IFERROR((Q203-R203)/Q203,0)</f>
        <v>0.333106746619407</v>
      </c>
    </row>
    <row r="204" customFormat="false" ht="15" hidden="false" customHeight="false" outlineLevel="0" collapsed="false">
      <c r="A204" s="2" t="n">
        <v>45499</v>
      </c>
      <c r="B204" s="3" t="s">
        <v>271</v>
      </c>
      <c r="C204" s="3" t="s">
        <v>177</v>
      </c>
      <c r="D204" s="3" t="s">
        <v>178</v>
      </c>
      <c r="E204" s="3" t="s">
        <v>179</v>
      </c>
      <c r="F204" s="3" t="s">
        <v>180</v>
      </c>
      <c r="G204" s="3" t="s">
        <v>24</v>
      </c>
      <c r="H204" s="3" t="s">
        <v>145</v>
      </c>
      <c r="I204" s="3" t="s">
        <v>146</v>
      </c>
      <c r="J204" s="3" t="s">
        <v>32</v>
      </c>
      <c r="K204" s="3" t="s">
        <v>33</v>
      </c>
      <c r="L204" s="3" t="s">
        <v>181</v>
      </c>
      <c r="M204" s="3" t="s">
        <v>180</v>
      </c>
      <c r="N204" s="4" t="n">
        <v>6</v>
      </c>
      <c r="O204" s="5" t="n">
        <v>17.64</v>
      </c>
      <c r="P204" s="6" t="n">
        <v>0.05</v>
      </c>
      <c r="Q204" s="5" t="n">
        <f aca="false">N204*O204*(1-P204)</f>
        <v>100.548</v>
      </c>
      <c r="R204" s="5" t="n">
        <v>67.99</v>
      </c>
      <c r="S204" s="6" t="n">
        <f aca="false">IFERROR((Q204-R204)/Q204,0)</f>
        <v>0.323805545610057</v>
      </c>
    </row>
    <row r="205" customFormat="false" ht="15" hidden="false" customHeight="false" outlineLevel="0" collapsed="false">
      <c r="A205" s="2" t="n">
        <v>45499</v>
      </c>
      <c r="B205" s="3" t="s">
        <v>272</v>
      </c>
      <c r="C205" s="3" t="s">
        <v>77</v>
      </c>
      <c r="D205" s="3" t="s">
        <v>78</v>
      </c>
      <c r="E205" s="3" t="s">
        <v>79</v>
      </c>
      <c r="F205" s="3" t="s">
        <v>45</v>
      </c>
      <c r="G205" s="3" t="s">
        <v>80</v>
      </c>
      <c r="H205" s="3" t="s">
        <v>46</v>
      </c>
      <c r="I205" s="3" t="s">
        <v>47</v>
      </c>
      <c r="J205" s="3" t="s">
        <v>48</v>
      </c>
      <c r="K205" s="3" t="s">
        <v>49</v>
      </c>
      <c r="L205" s="3" t="s">
        <v>50</v>
      </c>
      <c r="M205" s="3" t="s">
        <v>45</v>
      </c>
      <c r="N205" s="4" t="n">
        <v>24</v>
      </c>
      <c r="O205" s="5" t="n">
        <v>16.25</v>
      </c>
      <c r="P205" s="6" t="n">
        <v>0.1</v>
      </c>
      <c r="Q205" s="5" t="n">
        <f aca="false">N205*O205*(1-P205)</f>
        <v>351</v>
      </c>
      <c r="R205" s="5" t="n">
        <v>228.6</v>
      </c>
      <c r="S205" s="6" t="n">
        <f aca="false">IFERROR((Q205-R205)/Q205,0)</f>
        <v>0.348717948717949</v>
      </c>
    </row>
    <row r="206" customFormat="false" ht="15" hidden="false" customHeight="false" outlineLevel="0" collapsed="false">
      <c r="A206" s="2" t="n">
        <v>45499</v>
      </c>
      <c r="B206" s="3" t="s">
        <v>273</v>
      </c>
      <c r="C206" s="3" t="s">
        <v>62</v>
      </c>
      <c r="D206" s="3" t="s">
        <v>63</v>
      </c>
      <c r="E206" s="3" t="s">
        <v>64</v>
      </c>
      <c r="F206" s="3" t="s">
        <v>38</v>
      </c>
      <c r="G206" s="3" t="s">
        <v>39</v>
      </c>
      <c r="H206" s="3" t="s">
        <v>87</v>
      </c>
      <c r="I206" s="3" t="s">
        <v>88</v>
      </c>
      <c r="J206" s="3" t="s">
        <v>89</v>
      </c>
      <c r="K206" s="3" t="s">
        <v>90</v>
      </c>
      <c r="L206" s="3" t="s">
        <v>40</v>
      </c>
      <c r="M206" s="3" t="s">
        <v>38</v>
      </c>
      <c r="N206" s="4" t="n">
        <v>120</v>
      </c>
      <c r="O206" s="5" t="n">
        <v>15.45</v>
      </c>
      <c r="P206" s="6" t="n">
        <v>0</v>
      </c>
      <c r="Q206" s="5" t="n">
        <f aca="false">N206*O206*(1-P206)</f>
        <v>1854</v>
      </c>
      <c r="R206" s="5" t="n">
        <v>1193.65</v>
      </c>
      <c r="S206" s="6" t="n">
        <f aca="false">IFERROR((Q206-R206)/Q206,0)</f>
        <v>0.356175836030205</v>
      </c>
    </row>
    <row r="207" customFormat="false" ht="15" hidden="false" customHeight="false" outlineLevel="0" collapsed="false">
      <c r="A207" s="2" t="n">
        <v>45499</v>
      </c>
      <c r="B207" s="3" t="s">
        <v>273</v>
      </c>
      <c r="C207" s="3" t="s">
        <v>62</v>
      </c>
      <c r="D207" s="3" t="s">
        <v>63</v>
      </c>
      <c r="E207" s="3" t="s">
        <v>64</v>
      </c>
      <c r="F207" s="3" t="s">
        <v>38</v>
      </c>
      <c r="G207" s="3" t="s">
        <v>39</v>
      </c>
      <c r="H207" s="3" t="s">
        <v>129</v>
      </c>
      <c r="I207" s="3" t="s">
        <v>130</v>
      </c>
      <c r="J207" s="3" t="s">
        <v>67</v>
      </c>
      <c r="K207" s="3" t="s">
        <v>131</v>
      </c>
      <c r="L207" s="3" t="s">
        <v>40</v>
      </c>
      <c r="M207" s="3" t="s">
        <v>38</v>
      </c>
      <c r="N207" s="4" t="n">
        <v>48</v>
      </c>
      <c r="O207" s="5" t="n">
        <v>10.82</v>
      </c>
      <c r="P207" s="6" t="n">
        <v>0.05</v>
      </c>
      <c r="Q207" s="5" t="n">
        <f aca="false">N207*O207*(1-P207)</f>
        <v>493.392</v>
      </c>
      <c r="R207" s="5" t="n">
        <v>334.28</v>
      </c>
      <c r="S207" s="6" t="n">
        <f aca="false">IFERROR((Q207-R207)/Q207,0)</f>
        <v>0.322485974640854</v>
      </c>
    </row>
    <row r="208" customFormat="false" ht="15" hidden="false" customHeight="false" outlineLevel="0" collapsed="false">
      <c r="A208" s="2" t="n">
        <v>45499</v>
      </c>
      <c r="B208" s="3" t="s">
        <v>273</v>
      </c>
      <c r="C208" s="3" t="s">
        <v>62</v>
      </c>
      <c r="D208" s="3" t="s">
        <v>63</v>
      </c>
      <c r="E208" s="3" t="s">
        <v>64</v>
      </c>
      <c r="F208" s="3" t="s">
        <v>38</v>
      </c>
      <c r="G208" s="3" t="s">
        <v>39</v>
      </c>
      <c r="H208" s="3" t="s">
        <v>126</v>
      </c>
      <c r="I208" s="3" t="s">
        <v>127</v>
      </c>
      <c r="J208" s="3" t="s">
        <v>67</v>
      </c>
      <c r="K208" s="3" t="s">
        <v>128</v>
      </c>
      <c r="L208" s="3" t="s">
        <v>40</v>
      </c>
      <c r="M208" s="3" t="s">
        <v>38</v>
      </c>
      <c r="N208" s="4" t="n">
        <v>12</v>
      </c>
      <c r="O208" s="5" t="n">
        <v>6.59</v>
      </c>
      <c r="P208" s="6" t="n">
        <v>0</v>
      </c>
      <c r="Q208" s="5" t="n">
        <f aca="false">N208*O208*(1-P208)</f>
        <v>79.08</v>
      </c>
      <c r="R208" s="5" t="n">
        <v>46.36</v>
      </c>
      <c r="S208" s="6" t="n">
        <f aca="false">IFERROR((Q208-R208)/Q208,0)</f>
        <v>0.413758219524532</v>
      </c>
    </row>
    <row r="209" customFormat="false" ht="15" hidden="false" customHeight="false" outlineLevel="0" collapsed="false">
      <c r="A209" s="2" t="n">
        <v>45499</v>
      </c>
      <c r="B209" s="3" t="s">
        <v>273</v>
      </c>
      <c r="C209" s="3" t="s">
        <v>62</v>
      </c>
      <c r="D209" s="3" t="s">
        <v>63</v>
      </c>
      <c r="E209" s="3" t="s">
        <v>64</v>
      </c>
      <c r="F209" s="3" t="s">
        <v>38</v>
      </c>
      <c r="G209" s="3" t="s">
        <v>39</v>
      </c>
      <c r="H209" s="3" t="s">
        <v>171</v>
      </c>
      <c r="I209" s="3" t="s">
        <v>172</v>
      </c>
      <c r="J209" s="3" t="s">
        <v>27</v>
      </c>
      <c r="K209" s="3" t="s">
        <v>140</v>
      </c>
      <c r="L209" s="3" t="s">
        <v>40</v>
      </c>
      <c r="M209" s="3" t="s">
        <v>38</v>
      </c>
      <c r="N209" s="4" t="n">
        <v>12</v>
      </c>
      <c r="O209" s="5" t="n">
        <v>4</v>
      </c>
      <c r="P209" s="6" t="n">
        <v>0.1</v>
      </c>
      <c r="Q209" s="5" t="n">
        <f aca="false">N209*O209*(1-P209)</f>
        <v>43.2</v>
      </c>
      <c r="R209" s="5" t="n">
        <v>30.37</v>
      </c>
      <c r="S209" s="6" t="n">
        <f aca="false">IFERROR((Q209-R209)/Q209,0)</f>
        <v>0.296990740740741</v>
      </c>
    </row>
    <row r="210" customFormat="false" ht="15" hidden="false" customHeight="false" outlineLevel="0" collapsed="false">
      <c r="A210" s="2" t="n">
        <v>45501</v>
      </c>
      <c r="B210" s="3" t="s">
        <v>274</v>
      </c>
      <c r="C210" s="3" t="s">
        <v>194</v>
      </c>
      <c r="D210" s="3" t="s">
        <v>195</v>
      </c>
      <c r="E210" s="3" t="s">
        <v>196</v>
      </c>
      <c r="F210" s="3" t="s">
        <v>38</v>
      </c>
      <c r="G210" s="3" t="s">
        <v>39</v>
      </c>
      <c r="H210" s="3" t="s">
        <v>30</v>
      </c>
      <c r="I210" s="3" t="s">
        <v>31</v>
      </c>
      <c r="J210" s="3" t="s">
        <v>32</v>
      </c>
      <c r="K210" s="3" t="s">
        <v>33</v>
      </c>
      <c r="L210" s="3" t="s">
        <v>40</v>
      </c>
      <c r="M210" s="3" t="s">
        <v>38</v>
      </c>
      <c r="N210" s="4" t="n">
        <v>120</v>
      </c>
      <c r="O210" s="5" t="n">
        <v>23.2</v>
      </c>
      <c r="P210" s="6" t="n">
        <v>0</v>
      </c>
      <c r="Q210" s="5" t="n">
        <f aca="false">N210*O210*(1-P210)</f>
        <v>2784</v>
      </c>
      <c r="R210" s="5" t="n">
        <v>1821.3</v>
      </c>
      <c r="S210" s="6" t="n">
        <f aca="false">IFERROR((Q210-R210)/Q210,0)</f>
        <v>0.345797413793103</v>
      </c>
    </row>
    <row r="211" customFormat="false" ht="15" hidden="false" customHeight="false" outlineLevel="0" collapsed="false">
      <c r="A211" s="2" t="n">
        <v>45501</v>
      </c>
      <c r="B211" s="3" t="s">
        <v>274</v>
      </c>
      <c r="C211" s="3" t="s">
        <v>194</v>
      </c>
      <c r="D211" s="3" t="s">
        <v>195</v>
      </c>
      <c r="E211" s="3" t="s">
        <v>196</v>
      </c>
      <c r="F211" s="3" t="s">
        <v>38</v>
      </c>
      <c r="G211" s="3" t="s">
        <v>39</v>
      </c>
      <c r="H211" s="3" t="s">
        <v>25</v>
      </c>
      <c r="I211" s="3" t="s">
        <v>26</v>
      </c>
      <c r="J211" s="3" t="s">
        <v>27</v>
      </c>
      <c r="K211" s="3" t="s">
        <v>28</v>
      </c>
      <c r="L211" s="3" t="s">
        <v>40</v>
      </c>
      <c r="M211" s="3" t="s">
        <v>38</v>
      </c>
      <c r="N211" s="4" t="n">
        <v>6</v>
      </c>
      <c r="O211" s="5" t="n">
        <v>6.56</v>
      </c>
      <c r="P211" s="6" t="n">
        <v>0.15</v>
      </c>
      <c r="Q211" s="5" t="n">
        <f aca="false">N211*O211*(1-P211)</f>
        <v>33.456</v>
      </c>
      <c r="R211" s="5" t="n">
        <v>24.39</v>
      </c>
      <c r="S211" s="6" t="n">
        <f aca="false">IFERROR((Q211-R211)/Q211,0)</f>
        <v>0.270982783357245</v>
      </c>
    </row>
    <row r="212" customFormat="false" ht="15" hidden="false" customHeight="false" outlineLevel="0" collapsed="false">
      <c r="A212" s="2" t="n">
        <v>45501</v>
      </c>
      <c r="B212" s="3" t="s">
        <v>274</v>
      </c>
      <c r="C212" s="3" t="s">
        <v>194</v>
      </c>
      <c r="D212" s="3" t="s">
        <v>195</v>
      </c>
      <c r="E212" s="3" t="s">
        <v>196</v>
      </c>
      <c r="F212" s="3" t="s">
        <v>38</v>
      </c>
      <c r="G212" s="3" t="s">
        <v>39</v>
      </c>
      <c r="H212" s="3" t="s">
        <v>51</v>
      </c>
      <c r="I212" s="3" t="s">
        <v>52</v>
      </c>
      <c r="J212" s="3" t="s">
        <v>27</v>
      </c>
      <c r="K212" s="3" t="s">
        <v>53</v>
      </c>
      <c r="L212" s="3" t="s">
        <v>40</v>
      </c>
      <c r="M212" s="3" t="s">
        <v>38</v>
      </c>
      <c r="N212" s="4" t="n">
        <v>120</v>
      </c>
      <c r="O212" s="5" t="n">
        <v>22.68</v>
      </c>
      <c r="P212" s="6" t="n">
        <v>0</v>
      </c>
      <c r="Q212" s="5" t="n">
        <f aca="false">N212*O212*(1-P212)</f>
        <v>2721.6</v>
      </c>
      <c r="R212" s="5" t="n">
        <v>1684.89</v>
      </c>
      <c r="S212" s="6" t="n">
        <f aca="false">IFERROR((Q212-R212)/Q212,0)</f>
        <v>0.380919312169312</v>
      </c>
    </row>
    <row r="213" customFormat="false" ht="15" hidden="false" customHeight="false" outlineLevel="0" collapsed="false">
      <c r="A213" s="2" t="n">
        <v>45501</v>
      </c>
      <c r="B213" s="3" t="s">
        <v>274</v>
      </c>
      <c r="C213" s="3" t="s">
        <v>194</v>
      </c>
      <c r="D213" s="3" t="s">
        <v>195</v>
      </c>
      <c r="E213" s="3" t="s">
        <v>196</v>
      </c>
      <c r="F213" s="3" t="s">
        <v>38</v>
      </c>
      <c r="G213" s="3" t="s">
        <v>39</v>
      </c>
      <c r="H213" s="3" t="s">
        <v>145</v>
      </c>
      <c r="I213" s="3" t="s">
        <v>146</v>
      </c>
      <c r="J213" s="3" t="s">
        <v>32</v>
      </c>
      <c r="K213" s="3" t="s">
        <v>33</v>
      </c>
      <c r="L213" s="3" t="s">
        <v>40</v>
      </c>
      <c r="M213" s="3" t="s">
        <v>38</v>
      </c>
      <c r="N213" s="4" t="n">
        <v>72</v>
      </c>
      <c r="O213" s="5" t="n">
        <v>19.03</v>
      </c>
      <c r="P213" s="6" t="n">
        <v>0</v>
      </c>
      <c r="Q213" s="5" t="n">
        <f aca="false">N213*O213*(1-P213)</f>
        <v>1370.16</v>
      </c>
      <c r="R213" s="5" t="n">
        <v>836.61</v>
      </c>
      <c r="S213" s="6" t="n">
        <f aca="false">IFERROR((Q213-R213)/Q213,0)</f>
        <v>0.389407076545805</v>
      </c>
    </row>
    <row r="214" customFormat="false" ht="15" hidden="false" customHeight="false" outlineLevel="0" collapsed="false">
      <c r="A214" s="2" t="n">
        <v>45503</v>
      </c>
      <c r="B214" s="3" t="s">
        <v>275</v>
      </c>
      <c r="C214" s="3" t="s">
        <v>276</v>
      </c>
      <c r="D214" s="3" t="s">
        <v>277</v>
      </c>
      <c r="E214" s="3" t="s">
        <v>278</v>
      </c>
      <c r="F214" s="3" t="s">
        <v>38</v>
      </c>
      <c r="G214" s="3" t="s">
        <v>80</v>
      </c>
      <c r="H214" s="3" t="s">
        <v>173</v>
      </c>
      <c r="I214" s="3" t="s">
        <v>174</v>
      </c>
      <c r="J214" s="3" t="s">
        <v>27</v>
      </c>
      <c r="K214" s="3" t="s">
        <v>175</v>
      </c>
      <c r="L214" s="3" t="s">
        <v>40</v>
      </c>
      <c r="M214" s="3" t="s">
        <v>38</v>
      </c>
      <c r="N214" s="4" t="n">
        <v>24</v>
      </c>
      <c r="O214" s="5" t="n">
        <v>16.77</v>
      </c>
      <c r="P214" s="6" t="n">
        <v>0</v>
      </c>
      <c r="Q214" s="5" t="n">
        <f aca="false">N214*O214*(1-P214)</f>
        <v>402.48</v>
      </c>
      <c r="R214" s="5" t="n">
        <v>262.34</v>
      </c>
      <c r="S214" s="6" t="n">
        <f aca="false">IFERROR((Q214-R214)/Q214,0)</f>
        <v>0.348191214470284</v>
      </c>
    </row>
    <row r="215" customFormat="false" ht="15" hidden="false" customHeight="false" outlineLevel="0" collapsed="false">
      <c r="A215" s="2" t="n">
        <v>45511</v>
      </c>
      <c r="B215" s="3" t="s">
        <v>279</v>
      </c>
      <c r="C215" s="3" t="s">
        <v>20</v>
      </c>
      <c r="D215" s="3" t="s">
        <v>21</v>
      </c>
      <c r="E215" s="3" t="s">
        <v>22</v>
      </c>
      <c r="F215" s="3" t="s">
        <v>23</v>
      </c>
      <c r="G215" s="3" t="s">
        <v>24</v>
      </c>
      <c r="H215" s="3" t="s">
        <v>108</v>
      </c>
      <c r="I215" s="3" t="s">
        <v>109</v>
      </c>
      <c r="J215" s="3" t="s">
        <v>48</v>
      </c>
      <c r="K215" s="3" t="s">
        <v>110</v>
      </c>
      <c r="L215" s="3" t="s">
        <v>29</v>
      </c>
      <c r="M215" s="3" t="s">
        <v>23</v>
      </c>
      <c r="N215" s="4" t="n">
        <v>120</v>
      </c>
      <c r="O215" s="5" t="n">
        <v>6.73</v>
      </c>
      <c r="P215" s="6" t="n">
        <v>0</v>
      </c>
      <c r="Q215" s="5" t="n">
        <f aca="false">N215*O215*(1-P215)</f>
        <v>807.6</v>
      </c>
      <c r="R215" s="5" t="n">
        <v>523.45</v>
      </c>
      <c r="S215" s="6" t="n">
        <f aca="false">IFERROR((Q215-R215)/Q215,0)</f>
        <v>0.351844972758791</v>
      </c>
    </row>
    <row r="216" customFormat="false" ht="15" hidden="false" customHeight="false" outlineLevel="0" collapsed="false">
      <c r="A216" s="2" t="n">
        <v>45511</v>
      </c>
      <c r="B216" s="3" t="s">
        <v>279</v>
      </c>
      <c r="C216" s="3" t="s">
        <v>20</v>
      </c>
      <c r="D216" s="3" t="s">
        <v>21</v>
      </c>
      <c r="E216" s="3" t="s">
        <v>22</v>
      </c>
      <c r="F216" s="3" t="s">
        <v>23</v>
      </c>
      <c r="G216" s="3" t="s">
        <v>24</v>
      </c>
      <c r="H216" s="3" t="s">
        <v>126</v>
      </c>
      <c r="I216" s="3" t="s">
        <v>127</v>
      </c>
      <c r="J216" s="3" t="s">
        <v>67</v>
      </c>
      <c r="K216" s="3" t="s">
        <v>128</v>
      </c>
      <c r="L216" s="3" t="s">
        <v>29</v>
      </c>
      <c r="M216" s="3" t="s">
        <v>23</v>
      </c>
      <c r="N216" s="4" t="n">
        <v>24</v>
      </c>
      <c r="O216" s="5" t="n">
        <v>6.8</v>
      </c>
      <c r="P216" s="6" t="n">
        <v>0.05</v>
      </c>
      <c r="Q216" s="5" t="n">
        <f aca="false">N216*O216*(1-P216)</f>
        <v>155.04</v>
      </c>
      <c r="R216" s="5" t="n">
        <v>91.55</v>
      </c>
      <c r="S216" s="6" t="n">
        <f aca="false">IFERROR((Q216-R216)/Q216,0)</f>
        <v>0.409507223942208</v>
      </c>
    </row>
    <row r="217" customFormat="false" ht="15" hidden="false" customHeight="false" outlineLevel="0" collapsed="false">
      <c r="A217" s="2" t="n">
        <v>45511</v>
      </c>
      <c r="B217" s="3" t="s">
        <v>279</v>
      </c>
      <c r="C217" s="3" t="s">
        <v>20</v>
      </c>
      <c r="D217" s="3" t="s">
        <v>21</v>
      </c>
      <c r="E217" s="3" t="s">
        <v>22</v>
      </c>
      <c r="F217" s="3" t="s">
        <v>280</v>
      </c>
      <c r="G217" s="3" t="s">
        <v>24</v>
      </c>
      <c r="H217" s="3" t="s">
        <v>182</v>
      </c>
      <c r="I217" s="3" t="s">
        <v>183</v>
      </c>
      <c r="J217" s="3" t="s">
        <v>67</v>
      </c>
      <c r="K217" s="3" t="s">
        <v>184</v>
      </c>
      <c r="L217" s="3" t="s">
        <v>29</v>
      </c>
      <c r="M217" s="3" t="s">
        <v>23</v>
      </c>
      <c r="N217" s="4" t="n">
        <v>120</v>
      </c>
      <c r="O217" s="5" t="n">
        <v>12.56</v>
      </c>
      <c r="P217" s="6" t="n">
        <v>0.15</v>
      </c>
      <c r="Q217" s="5" t="n">
        <f aca="false">N217*O217*(1-P217)</f>
        <v>1281.12</v>
      </c>
      <c r="R217" s="5" t="n">
        <v>949.51</v>
      </c>
      <c r="S217" s="6" t="n">
        <f aca="false">IFERROR((Q217-R217)/Q217,0)</f>
        <v>0.258843824153865</v>
      </c>
    </row>
    <row r="218" customFormat="false" ht="15" hidden="false" customHeight="false" outlineLevel="0" collapsed="false">
      <c r="A218" s="2" t="n">
        <v>45511</v>
      </c>
      <c r="B218" s="3" t="s">
        <v>279</v>
      </c>
      <c r="C218" s="3" t="s">
        <v>20</v>
      </c>
      <c r="D218" s="3" t="s">
        <v>21</v>
      </c>
      <c r="E218" s="3" t="s">
        <v>22</v>
      </c>
      <c r="F218" s="3" t="s">
        <v>23</v>
      </c>
      <c r="G218" s="3" t="s">
        <v>24</v>
      </c>
      <c r="H218" s="3" t="s">
        <v>141</v>
      </c>
      <c r="I218" s="3" t="s">
        <v>142</v>
      </c>
      <c r="J218" s="3" t="s">
        <v>89</v>
      </c>
      <c r="K218" s="3" t="s">
        <v>100</v>
      </c>
      <c r="L218" s="3" t="s">
        <v>29</v>
      </c>
      <c r="M218" s="3" t="s">
        <v>23</v>
      </c>
      <c r="N218" s="4" t="n">
        <v>12</v>
      </c>
      <c r="O218" s="5" t="n">
        <v>20.38</v>
      </c>
      <c r="P218" s="6" t="n">
        <v>0.15</v>
      </c>
      <c r="Q218" s="5" t="n">
        <f aca="false">N218*O218*(1-P218)</f>
        <v>207.876</v>
      </c>
      <c r="R218" s="5" t="n">
        <v>147.87</v>
      </c>
      <c r="S218" s="6" t="n">
        <f aca="false">IFERROR((Q218-R218)/Q218,0)</f>
        <v>0.288662471858223</v>
      </c>
    </row>
    <row r="219" customFormat="false" ht="15" hidden="false" customHeight="false" outlineLevel="0" collapsed="false">
      <c r="A219" s="2" t="n">
        <v>45511</v>
      </c>
      <c r="B219" s="3" t="s">
        <v>281</v>
      </c>
      <c r="C219" s="3" t="s">
        <v>213</v>
      </c>
      <c r="D219" s="3" t="s">
        <v>214</v>
      </c>
      <c r="E219" s="3" t="s">
        <v>215</v>
      </c>
      <c r="F219" s="3" t="s">
        <v>180</v>
      </c>
      <c r="G219" s="3" t="s">
        <v>39</v>
      </c>
      <c r="H219" s="3" t="s">
        <v>54</v>
      </c>
      <c r="I219" s="3" t="s">
        <v>55</v>
      </c>
      <c r="J219" s="3" t="s">
        <v>56</v>
      </c>
      <c r="K219" s="3" t="s">
        <v>57</v>
      </c>
      <c r="L219" s="3" t="s">
        <v>181</v>
      </c>
      <c r="M219" s="3" t="s">
        <v>180</v>
      </c>
      <c r="N219" s="4" t="n">
        <v>72</v>
      </c>
      <c r="O219" s="5" t="n">
        <v>4.6</v>
      </c>
      <c r="P219" s="6" t="n">
        <v>0.05</v>
      </c>
      <c r="Q219" s="5" t="n">
        <f aca="false">N219*O219*(1-P219)</f>
        <v>314.64</v>
      </c>
      <c r="R219" s="5" t="n">
        <v>206.19</v>
      </c>
      <c r="S219" s="6" t="n">
        <f aca="false">IFERROR((Q219-R219)/Q219,0)</f>
        <v>0.344679633867277</v>
      </c>
    </row>
    <row r="220" customFormat="false" ht="15" hidden="false" customHeight="false" outlineLevel="0" collapsed="false">
      <c r="A220" s="2" t="n">
        <v>45511</v>
      </c>
      <c r="B220" s="3" t="s">
        <v>282</v>
      </c>
      <c r="C220" s="3" t="s">
        <v>283</v>
      </c>
      <c r="D220" s="3" t="s">
        <v>284</v>
      </c>
      <c r="E220" s="3" t="s">
        <v>285</v>
      </c>
      <c r="F220" s="3" t="s">
        <v>45</v>
      </c>
      <c r="G220" s="3" t="s">
        <v>39</v>
      </c>
      <c r="H220" s="3" t="s">
        <v>147</v>
      </c>
      <c r="I220" s="3" t="s">
        <v>148</v>
      </c>
      <c r="J220" s="3" t="s">
        <v>27</v>
      </c>
      <c r="K220" s="3" t="s">
        <v>149</v>
      </c>
      <c r="L220" s="3" t="s">
        <v>50</v>
      </c>
      <c r="M220" s="3" t="s">
        <v>45</v>
      </c>
      <c r="N220" s="4" t="n">
        <v>12</v>
      </c>
      <c r="O220" s="5" t="n">
        <v>4.56</v>
      </c>
      <c r="P220" s="6" t="n">
        <v>0.15</v>
      </c>
      <c r="Q220" s="5" t="n">
        <f aca="false">N220*O220*(1-P220)</f>
        <v>46.512</v>
      </c>
      <c r="R220" s="5" t="n">
        <v>33.18</v>
      </c>
      <c r="S220" s="6" t="n">
        <f aca="false">IFERROR((Q220-R220)/Q220,0)</f>
        <v>0.286635706914345</v>
      </c>
    </row>
    <row r="221" customFormat="false" ht="15" hidden="false" customHeight="false" outlineLevel="0" collapsed="false">
      <c r="A221" s="2" t="n">
        <v>45511</v>
      </c>
      <c r="B221" s="3" t="s">
        <v>282</v>
      </c>
      <c r="C221" s="3" t="s">
        <v>283</v>
      </c>
      <c r="D221" s="3" t="s">
        <v>284</v>
      </c>
      <c r="E221" s="3" t="s">
        <v>285</v>
      </c>
      <c r="F221" s="3" t="s">
        <v>45</v>
      </c>
      <c r="G221" s="3" t="s">
        <v>39</v>
      </c>
      <c r="H221" s="3" t="s">
        <v>25</v>
      </c>
      <c r="I221" s="3" t="s">
        <v>26</v>
      </c>
      <c r="J221" s="3" t="s">
        <v>27</v>
      </c>
      <c r="K221" s="3" t="s">
        <v>28</v>
      </c>
      <c r="L221" s="3" t="s">
        <v>50</v>
      </c>
      <c r="M221" s="3" t="s">
        <v>45</v>
      </c>
      <c r="N221" s="4" t="n">
        <v>120</v>
      </c>
      <c r="O221" s="5" t="n">
        <v>6.38</v>
      </c>
      <c r="P221" s="6" t="n">
        <v>0.1</v>
      </c>
      <c r="Q221" s="5" t="n">
        <f aca="false">N221*O221*(1-P221)</f>
        <v>689.04</v>
      </c>
      <c r="R221" s="5" t="n">
        <v>492.55</v>
      </c>
      <c r="S221" s="6" t="n">
        <f aca="false">IFERROR((Q221-R221)/Q221,0)</f>
        <v>0.285164867061419</v>
      </c>
    </row>
    <row r="222" customFormat="false" ht="15" hidden="false" customHeight="false" outlineLevel="0" collapsed="false">
      <c r="A222" s="2" t="n">
        <v>45511</v>
      </c>
      <c r="B222" s="3" t="s">
        <v>282</v>
      </c>
      <c r="C222" s="3" t="s">
        <v>283</v>
      </c>
      <c r="D222" s="3" t="s">
        <v>284</v>
      </c>
      <c r="E222" s="3" t="s">
        <v>285</v>
      </c>
      <c r="F222" s="3" t="s">
        <v>45</v>
      </c>
      <c r="G222" s="3" t="s">
        <v>39</v>
      </c>
      <c r="H222" s="3" t="s">
        <v>112</v>
      </c>
      <c r="I222" s="3" t="s">
        <v>113</v>
      </c>
      <c r="J222" s="3" t="s">
        <v>67</v>
      </c>
      <c r="K222" s="3" t="s">
        <v>114</v>
      </c>
      <c r="L222" s="3" t="s">
        <v>50</v>
      </c>
      <c r="M222" s="3" t="s">
        <v>45</v>
      </c>
      <c r="N222" s="4" t="n">
        <v>96</v>
      </c>
      <c r="O222" s="5" t="n">
        <v>9.97</v>
      </c>
      <c r="P222" s="6" t="n">
        <v>0</v>
      </c>
      <c r="Q222" s="5" t="n">
        <f aca="false">N222*O222*(1-P222)</f>
        <v>957.12</v>
      </c>
      <c r="R222" s="5" t="n">
        <v>562.95</v>
      </c>
      <c r="S222" s="6" t="n">
        <f aca="false">IFERROR((Q222-R222)/Q222,0)</f>
        <v>0.411829237713139</v>
      </c>
    </row>
    <row r="223" customFormat="false" ht="15" hidden="false" customHeight="false" outlineLevel="0" collapsed="false">
      <c r="A223" s="2" t="n">
        <v>45511</v>
      </c>
      <c r="B223" s="3" t="s">
        <v>282</v>
      </c>
      <c r="C223" s="3" t="s">
        <v>283</v>
      </c>
      <c r="D223" s="3" t="s">
        <v>284</v>
      </c>
      <c r="E223" s="3" t="s">
        <v>285</v>
      </c>
      <c r="F223" s="3" t="s">
        <v>45</v>
      </c>
      <c r="G223" s="3" t="s">
        <v>39</v>
      </c>
      <c r="H223" s="3" t="s">
        <v>65</v>
      </c>
      <c r="I223" s="3" t="s">
        <v>66</v>
      </c>
      <c r="J223" s="3" t="s">
        <v>67</v>
      </c>
      <c r="K223" s="3" t="s">
        <v>68</v>
      </c>
      <c r="L223" s="3" t="s">
        <v>50</v>
      </c>
      <c r="M223" s="3" t="s">
        <v>45</v>
      </c>
      <c r="N223" s="4" t="n">
        <v>24</v>
      </c>
      <c r="O223" s="5" t="n">
        <v>29.93</v>
      </c>
      <c r="P223" s="6" t="n">
        <v>0</v>
      </c>
      <c r="Q223" s="5" t="n">
        <f aca="false">N223*O223*(1-P223)</f>
        <v>718.32</v>
      </c>
      <c r="R223" s="5" t="n">
        <v>419.71</v>
      </c>
      <c r="S223" s="6" t="n">
        <f aca="false">IFERROR((Q223-R223)/Q223,0)</f>
        <v>0.415706091992427</v>
      </c>
    </row>
    <row r="224" customFormat="false" ht="15" hidden="false" customHeight="false" outlineLevel="0" collapsed="false">
      <c r="A224" s="2" t="n">
        <v>45512</v>
      </c>
      <c r="B224" s="3" t="s">
        <v>286</v>
      </c>
      <c r="C224" s="3" t="s">
        <v>253</v>
      </c>
      <c r="D224" s="3" t="s">
        <v>254</v>
      </c>
      <c r="E224" s="3" t="s">
        <v>255</v>
      </c>
      <c r="F224" s="3" t="s">
        <v>38</v>
      </c>
      <c r="G224" s="3" t="s">
        <v>95</v>
      </c>
      <c r="H224" s="3" t="s">
        <v>158</v>
      </c>
      <c r="I224" s="3" t="s">
        <v>159</v>
      </c>
      <c r="J224" s="3" t="s">
        <v>27</v>
      </c>
      <c r="K224" s="3" t="s">
        <v>149</v>
      </c>
      <c r="L224" s="3" t="s">
        <v>40</v>
      </c>
      <c r="M224" s="3" t="s">
        <v>38</v>
      </c>
      <c r="N224" s="4" t="n">
        <v>72</v>
      </c>
      <c r="O224" s="5" t="n">
        <v>7.66</v>
      </c>
      <c r="P224" s="6" t="n">
        <v>0</v>
      </c>
      <c r="Q224" s="5" t="n">
        <f aca="false">N224*O224*(1-P224)</f>
        <v>551.52</v>
      </c>
      <c r="R224" s="5" t="n">
        <v>329.17</v>
      </c>
      <c r="S224" s="6" t="n">
        <f aca="false">IFERROR((Q224-R224)/Q224,0)</f>
        <v>0.403158543661155</v>
      </c>
    </row>
    <row r="225" customFormat="false" ht="15" hidden="false" customHeight="false" outlineLevel="0" collapsed="false">
      <c r="A225" s="2" t="n">
        <v>45512</v>
      </c>
      <c r="B225" s="3" t="s">
        <v>286</v>
      </c>
      <c r="C225" s="3" t="s">
        <v>253</v>
      </c>
      <c r="D225" s="3" t="s">
        <v>254</v>
      </c>
      <c r="E225" s="3" t="s">
        <v>255</v>
      </c>
      <c r="F225" s="3" t="s">
        <v>38</v>
      </c>
      <c r="G225" s="3" t="s">
        <v>95</v>
      </c>
      <c r="H225" s="3" t="s">
        <v>73</v>
      </c>
      <c r="I225" s="3" t="s">
        <v>74</v>
      </c>
      <c r="J225" s="3" t="s">
        <v>48</v>
      </c>
      <c r="K225" s="3" t="s">
        <v>75</v>
      </c>
      <c r="L225" s="3" t="s">
        <v>40</v>
      </c>
      <c r="M225" s="3" t="s">
        <v>38</v>
      </c>
      <c r="N225" s="4" t="n">
        <v>48</v>
      </c>
      <c r="O225" s="5" t="n">
        <v>9.14</v>
      </c>
      <c r="P225" s="6" t="n">
        <v>0.05</v>
      </c>
      <c r="Q225" s="5" t="n">
        <f aca="false">N225*O225*(1-P225)</f>
        <v>416.784</v>
      </c>
      <c r="R225" s="5" t="n">
        <v>262.1</v>
      </c>
      <c r="S225" s="6" t="n">
        <f aca="false">IFERROR((Q225-R225)/Q225,0)</f>
        <v>0.371137087796077</v>
      </c>
    </row>
    <row r="226" customFormat="false" ht="15" hidden="false" customHeight="false" outlineLevel="0" collapsed="false">
      <c r="A226" s="2" t="n">
        <v>45514</v>
      </c>
      <c r="B226" s="3" t="s">
        <v>287</v>
      </c>
      <c r="C226" s="3" t="s">
        <v>116</v>
      </c>
      <c r="D226" s="3" t="s">
        <v>117</v>
      </c>
      <c r="E226" s="3" t="s">
        <v>118</v>
      </c>
      <c r="F226" s="3" t="s">
        <v>45</v>
      </c>
      <c r="G226" s="3" t="s">
        <v>39</v>
      </c>
      <c r="H226" s="3" t="s">
        <v>145</v>
      </c>
      <c r="I226" s="3" t="s">
        <v>146</v>
      </c>
      <c r="J226" s="3" t="s">
        <v>32</v>
      </c>
      <c r="K226" s="3" t="s">
        <v>33</v>
      </c>
      <c r="L226" s="3" t="s">
        <v>50</v>
      </c>
      <c r="M226" s="3" t="s">
        <v>45</v>
      </c>
      <c r="N226" s="4" t="n">
        <v>60</v>
      </c>
      <c r="O226" s="5" t="n">
        <v>20.33</v>
      </c>
      <c r="P226" s="6" t="n">
        <v>0</v>
      </c>
      <c r="Q226" s="5" t="n">
        <f aca="false">N226*O226*(1-P226)</f>
        <v>1219.8</v>
      </c>
      <c r="R226" s="5" t="n">
        <v>690.21</v>
      </c>
      <c r="S226" s="6" t="n">
        <f aca="false">IFERROR((Q226-R226)/Q226,0)</f>
        <v>0.43416133792425</v>
      </c>
    </row>
    <row r="227" customFormat="false" ht="15" hidden="false" customHeight="false" outlineLevel="0" collapsed="false">
      <c r="A227" s="2" t="n">
        <v>45514</v>
      </c>
      <c r="B227" s="3" t="s">
        <v>287</v>
      </c>
      <c r="C227" s="3" t="s">
        <v>116</v>
      </c>
      <c r="D227" s="3" t="s">
        <v>117</v>
      </c>
      <c r="E227" s="3" t="s">
        <v>118</v>
      </c>
      <c r="F227" s="3" t="s">
        <v>45</v>
      </c>
      <c r="G227" s="3" t="s">
        <v>39</v>
      </c>
      <c r="H227" s="3" t="s">
        <v>147</v>
      </c>
      <c r="I227" s="3" t="s">
        <v>148</v>
      </c>
      <c r="J227" s="3" t="s">
        <v>27</v>
      </c>
      <c r="K227" s="3" t="s">
        <v>149</v>
      </c>
      <c r="L227" s="3" t="s">
        <v>50</v>
      </c>
      <c r="M227" s="3" t="s">
        <v>45</v>
      </c>
      <c r="N227" s="4" t="n">
        <v>60</v>
      </c>
      <c r="O227" s="5" t="n">
        <v>4.75</v>
      </c>
      <c r="P227" s="6" t="n">
        <v>0.15</v>
      </c>
      <c r="Q227" s="5" t="n">
        <f aca="false">N227*O227*(1-P227)</f>
        <v>242.25</v>
      </c>
      <c r="R227" s="5" t="n">
        <v>168.73</v>
      </c>
      <c r="S227" s="6" t="n">
        <f aca="false">IFERROR((Q227-R227)/Q227,0)</f>
        <v>0.303488132094943</v>
      </c>
    </row>
    <row r="228" customFormat="false" ht="15" hidden="false" customHeight="false" outlineLevel="0" collapsed="false">
      <c r="A228" s="2" t="n">
        <v>45517</v>
      </c>
      <c r="B228" s="3" t="s">
        <v>288</v>
      </c>
      <c r="C228" s="3" t="s">
        <v>135</v>
      </c>
      <c r="D228" s="3" t="s">
        <v>136</v>
      </c>
      <c r="E228" s="3" t="s">
        <v>137</v>
      </c>
      <c r="F228" s="3" t="s">
        <v>45</v>
      </c>
      <c r="G228" s="3" t="s">
        <v>39</v>
      </c>
      <c r="H228" s="3" t="s">
        <v>129</v>
      </c>
      <c r="I228" s="3" t="s">
        <v>130</v>
      </c>
      <c r="J228" s="3" t="s">
        <v>67</v>
      </c>
      <c r="K228" s="3" t="s">
        <v>131</v>
      </c>
      <c r="L228" s="3" t="s">
        <v>50</v>
      </c>
      <c r="M228" s="3" t="s">
        <v>45</v>
      </c>
      <c r="N228" s="4" t="n">
        <v>24</v>
      </c>
      <c r="O228" s="5" t="n">
        <v>12.27</v>
      </c>
      <c r="P228" s="6" t="n">
        <v>0.1</v>
      </c>
      <c r="Q228" s="5" t="n">
        <f aca="false">N228*O228*(1-P228)</f>
        <v>265.032</v>
      </c>
      <c r="R228" s="5" t="n">
        <v>170.42</v>
      </c>
      <c r="S228" s="6" t="n">
        <f aca="false">IFERROR((Q228-R228)/Q228,0)</f>
        <v>0.356983307676054</v>
      </c>
    </row>
    <row r="229" customFormat="false" ht="15" hidden="false" customHeight="false" outlineLevel="0" collapsed="false">
      <c r="A229" s="2" t="n">
        <v>45517</v>
      </c>
      <c r="B229" s="3" t="s">
        <v>288</v>
      </c>
      <c r="C229" s="3" t="s">
        <v>135</v>
      </c>
      <c r="D229" s="3" t="s">
        <v>136</v>
      </c>
      <c r="E229" s="3" t="s">
        <v>137</v>
      </c>
      <c r="F229" s="3" t="s">
        <v>45</v>
      </c>
      <c r="G229" s="3" t="s">
        <v>39</v>
      </c>
      <c r="H229" s="3" t="s">
        <v>112</v>
      </c>
      <c r="I229" s="3" t="s">
        <v>113</v>
      </c>
      <c r="J229" s="3" t="s">
        <v>67</v>
      </c>
      <c r="K229" s="3" t="s">
        <v>114</v>
      </c>
      <c r="L229" s="3" t="s">
        <v>50</v>
      </c>
      <c r="M229" s="3" t="s">
        <v>45</v>
      </c>
      <c r="N229" s="4" t="n">
        <v>12</v>
      </c>
      <c r="O229" s="5" t="n">
        <v>9.24</v>
      </c>
      <c r="P229" s="6" t="n">
        <v>0</v>
      </c>
      <c r="Q229" s="5" t="n">
        <f aca="false">N229*O229*(1-P229)</f>
        <v>110.88</v>
      </c>
      <c r="R229" s="5" t="n">
        <v>71.05</v>
      </c>
      <c r="S229" s="6" t="n">
        <f aca="false">IFERROR((Q229-R229)/Q229,0)</f>
        <v>0.359217171717172</v>
      </c>
    </row>
    <row r="230" customFormat="false" ht="15" hidden="false" customHeight="false" outlineLevel="0" collapsed="false">
      <c r="A230" s="2" t="n">
        <v>45517</v>
      </c>
      <c r="B230" s="3" t="s">
        <v>288</v>
      </c>
      <c r="C230" s="3" t="s">
        <v>135</v>
      </c>
      <c r="D230" s="3" t="s">
        <v>136</v>
      </c>
      <c r="E230" s="3" t="s">
        <v>137</v>
      </c>
      <c r="F230" s="3" t="s">
        <v>45</v>
      </c>
      <c r="G230" s="3" t="s">
        <v>39</v>
      </c>
      <c r="H230" s="3" t="s">
        <v>84</v>
      </c>
      <c r="I230" s="3" t="s">
        <v>85</v>
      </c>
      <c r="J230" s="3" t="s">
        <v>56</v>
      </c>
      <c r="K230" s="3" t="s">
        <v>86</v>
      </c>
      <c r="L230" s="3" t="s">
        <v>50</v>
      </c>
      <c r="M230" s="3" t="s">
        <v>45</v>
      </c>
      <c r="N230" s="4" t="n">
        <v>96</v>
      </c>
      <c r="O230" s="5" t="n">
        <v>5.05</v>
      </c>
      <c r="P230" s="6" t="n">
        <v>0</v>
      </c>
      <c r="Q230" s="5" t="n">
        <f aca="false">N230*O230*(1-P230)</f>
        <v>484.8</v>
      </c>
      <c r="R230" s="5" t="n">
        <v>294.6</v>
      </c>
      <c r="S230" s="6" t="n">
        <f aca="false">IFERROR((Q230-R230)/Q230,0)</f>
        <v>0.392326732673267</v>
      </c>
    </row>
    <row r="231" customFormat="false" ht="15" hidden="false" customHeight="false" outlineLevel="0" collapsed="false">
      <c r="A231" s="2" t="n">
        <v>45518</v>
      </c>
      <c r="B231" s="3" t="s">
        <v>289</v>
      </c>
      <c r="C231" s="3" t="s">
        <v>209</v>
      </c>
      <c r="D231" s="3" t="s">
        <v>210</v>
      </c>
      <c r="E231" s="3" t="s">
        <v>211</v>
      </c>
      <c r="F231" s="3" t="s">
        <v>23</v>
      </c>
      <c r="G231" s="3" t="s">
        <v>95</v>
      </c>
      <c r="H231" s="3" t="s">
        <v>132</v>
      </c>
      <c r="I231" s="3" t="s">
        <v>133</v>
      </c>
      <c r="J231" s="3" t="s">
        <v>27</v>
      </c>
      <c r="K231" s="3" t="s">
        <v>28</v>
      </c>
      <c r="L231" s="3" t="s">
        <v>29</v>
      </c>
      <c r="M231" s="3" t="s">
        <v>23</v>
      </c>
      <c r="N231" s="4" t="n">
        <v>24</v>
      </c>
      <c r="O231" s="5" t="n">
        <v>13.84</v>
      </c>
      <c r="P231" s="6" t="n">
        <v>0</v>
      </c>
      <c r="Q231" s="5" t="n">
        <f aca="false">N231*O231*(1-P231)</f>
        <v>332.16</v>
      </c>
      <c r="R231" s="5" t="n">
        <v>196.92</v>
      </c>
      <c r="S231" s="6" t="n">
        <f aca="false">IFERROR((Q231-R231)/Q231,0)</f>
        <v>0.407153179190751</v>
      </c>
    </row>
    <row r="232" customFormat="false" ht="15" hidden="false" customHeight="false" outlineLevel="0" collapsed="false">
      <c r="A232" s="2" t="n">
        <v>45518</v>
      </c>
      <c r="B232" s="3" t="s">
        <v>289</v>
      </c>
      <c r="C232" s="3" t="s">
        <v>209</v>
      </c>
      <c r="D232" s="3" t="s">
        <v>210</v>
      </c>
      <c r="E232" s="3" t="s">
        <v>211</v>
      </c>
      <c r="F232" s="3" t="s">
        <v>23</v>
      </c>
      <c r="G232" s="3" t="s">
        <v>95</v>
      </c>
      <c r="H232" s="3" t="s">
        <v>112</v>
      </c>
      <c r="I232" s="3" t="s">
        <v>113</v>
      </c>
      <c r="J232" s="3" t="s">
        <v>67</v>
      </c>
      <c r="K232" s="3" t="s">
        <v>114</v>
      </c>
      <c r="L232" s="3" t="s">
        <v>29</v>
      </c>
      <c r="M232" s="3" t="s">
        <v>23</v>
      </c>
      <c r="N232" s="4" t="n">
        <v>72</v>
      </c>
      <c r="O232" s="5" t="n">
        <v>9.16</v>
      </c>
      <c r="P232" s="6" t="n">
        <v>0</v>
      </c>
      <c r="Q232" s="5" t="n">
        <f aca="false">N232*O232*(1-P232)</f>
        <v>659.52</v>
      </c>
      <c r="R232" s="5" t="n">
        <v>427.74</v>
      </c>
      <c r="S232" s="6" t="n">
        <f aca="false">IFERROR((Q232-R232)/Q232,0)</f>
        <v>0.351437409024745</v>
      </c>
    </row>
    <row r="233" customFormat="false" ht="15" hidden="false" customHeight="false" outlineLevel="0" collapsed="false">
      <c r="A233" s="2" t="n">
        <v>45518</v>
      </c>
      <c r="B233" s="3" t="s">
        <v>289</v>
      </c>
      <c r="C233" s="3" t="s">
        <v>209</v>
      </c>
      <c r="D233" s="3" t="s">
        <v>210</v>
      </c>
      <c r="E233" s="3" t="s">
        <v>211</v>
      </c>
      <c r="F233" s="3" t="s">
        <v>23</v>
      </c>
      <c r="G233" s="3" t="s">
        <v>95</v>
      </c>
      <c r="H233" s="3" t="s">
        <v>141</v>
      </c>
      <c r="I233" s="3" t="s">
        <v>142</v>
      </c>
      <c r="J233" s="3" t="s">
        <v>89</v>
      </c>
      <c r="K233" s="3" t="s">
        <v>100</v>
      </c>
      <c r="L233" s="3" t="s">
        <v>29</v>
      </c>
      <c r="M233" s="3" t="s">
        <v>23</v>
      </c>
      <c r="N233" s="4" t="n">
        <v>48</v>
      </c>
      <c r="O233" s="5" t="n">
        <v>18.68</v>
      </c>
      <c r="P233" s="6" t="n">
        <v>0</v>
      </c>
      <c r="Q233" s="5" t="n">
        <f aca="false">N233*O233*(1-P233)</f>
        <v>896.64</v>
      </c>
      <c r="R233" s="5" t="n">
        <v>579.62</v>
      </c>
      <c r="S233" s="6" t="n">
        <f aca="false">IFERROR((Q233-R233)/Q233,0)</f>
        <v>0.353564418272662</v>
      </c>
    </row>
    <row r="234" customFormat="false" ht="15" hidden="false" customHeight="false" outlineLevel="0" collapsed="false">
      <c r="A234" s="2" t="n">
        <v>45518</v>
      </c>
      <c r="B234" s="3" t="s">
        <v>289</v>
      </c>
      <c r="C234" s="3" t="s">
        <v>209</v>
      </c>
      <c r="D234" s="3" t="s">
        <v>210</v>
      </c>
      <c r="E234" s="3" t="s">
        <v>211</v>
      </c>
      <c r="F234" s="3" t="s">
        <v>23</v>
      </c>
      <c r="G234" s="3" t="s">
        <v>95</v>
      </c>
      <c r="H234" s="3" t="s">
        <v>164</v>
      </c>
      <c r="I234" s="3" t="s">
        <v>165</v>
      </c>
      <c r="J234" s="3" t="s">
        <v>32</v>
      </c>
      <c r="K234" s="3" t="s">
        <v>60</v>
      </c>
      <c r="L234" s="3" t="s">
        <v>29</v>
      </c>
      <c r="M234" s="3" t="s">
        <v>23</v>
      </c>
      <c r="N234" s="4" t="n">
        <v>12</v>
      </c>
      <c r="O234" s="5" t="n">
        <v>14.4</v>
      </c>
      <c r="P234" s="6" t="n">
        <v>0</v>
      </c>
      <c r="Q234" s="5" t="n">
        <f aca="false">N234*O234*(1-P234)</f>
        <v>172.8</v>
      </c>
      <c r="R234" s="5" t="n">
        <v>106.52</v>
      </c>
      <c r="S234" s="6" t="n">
        <f aca="false">IFERROR((Q234-R234)/Q234,0)</f>
        <v>0.383564814814815</v>
      </c>
    </row>
    <row r="235" customFormat="false" ht="15" hidden="false" customHeight="false" outlineLevel="0" collapsed="false">
      <c r="A235" s="2" t="n">
        <v>45521</v>
      </c>
      <c r="B235" s="3" t="s">
        <v>290</v>
      </c>
      <c r="C235" s="3" t="s">
        <v>167</v>
      </c>
      <c r="D235" s="3" t="s">
        <v>168</v>
      </c>
      <c r="E235" s="3" t="s">
        <v>169</v>
      </c>
      <c r="F235" s="3" t="s">
        <v>170</v>
      </c>
      <c r="G235" s="3" t="s">
        <v>39</v>
      </c>
      <c r="H235" s="3" t="s">
        <v>87</v>
      </c>
      <c r="I235" s="3" t="s">
        <v>88</v>
      </c>
      <c r="J235" s="3" t="s">
        <v>89</v>
      </c>
      <c r="K235" s="3" t="s">
        <v>90</v>
      </c>
      <c r="L235" s="3" t="s">
        <v>106</v>
      </c>
      <c r="M235" s="3" t="s">
        <v>107</v>
      </c>
      <c r="N235" s="4" t="n">
        <v>60</v>
      </c>
      <c r="O235" s="5" t="n">
        <v>17.73</v>
      </c>
      <c r="P235" s="6" t="n">
        <v>0.1</v>
      </c>
      <c r="Q235" s="5" t="n">
        <f aca="false">N235*O235*(1-P235)</f>
        <v>957.42</v>
      </c>
      <c r="R235" s="5" t="n">
        <v>615.79</v>
      </c>
      <c r="S235" s="6" t="n">
        <f aca="false">IFERROR((Q235-R235)/Q235,0)</f>
        <v>0.356823546614861</v>
      </c>
    </row>
    <row r="236" customFormat="false" ht="15" hidden="false" customHeight="false" outlineLevel="0" collapsed="false">
      <c r="A236" s="2" t="n">
        <v>45521</v>
      </c>
      <c r="B236" s="3" t="s">
        <v>290</v>
      </c>
      <c r="C236" s="3" t="s">
        <v>167</v>
      </c>
      <c r="D236" s="3" t="s">
        <v>168</v>
      </c>
      <c r="E236" s="3" t="s">
        <v>169</v>
      </c>
      <c r="F236" s="3" t="s">
        <v>170</v>
      </c>
      <c r="G236" s="3" t="s">
        <v>39</v>
      </c>
      <c r="H236" s="3" t="s">
        <v>126</v>
      </c>
      <c r="I236" s="3" t="s">
        <v>127</v>
      </c>
      <c r="J236" s="3" t="s">
        <v>67</v>
      </c>
      <c r="K236" s="3" t="s">
        <v>128</v>
      </c>
      <c r="L236" s="3" t="s">
        <v>106</v>
      </c>
      <c r="M236" s="3" t="s">
        <v>107</v>
      </c>
      <c r="N236" s="4" t="n">
        <v>120</v>
      </c>
      <c r="O236" s="5" t="n">
        <v>6.46</v>
      </c>
      <c r="P236" s="6" t="n">
        <v>0</v>
      </c>
      <c r="Q236" s="5" t="n">
        <f aca="false">N236*O236*(1-P236)</f>
        <v>775.2</v>
      </c>
      <c r="R236" s="5" t="n">
        <v>461.07</v>
      </c>
      <c r="S236" s="6" t="n">
        <f aca="false">IFERROR((Q236-R236)/Q236,0)</f>
        <v>0.405224458204334</v>
      </c>
    </row>
    <row r="237" customFormat="false" ht="15" hidden="false" customHeight="false" outlineLevel="0" collapsed="false">
      <c r="A237" s="2" t="n">
        <v>45522</v>
      </c>
      <c r="B237" s="3" t="s">
        <v>291</v>
      </c>
      <c r="C237" s="3" t="s">
        <v>209</v>
      </c>
      <c r="D237" s="3" t="s">
        <v>210</v>
      </c>
      <c r="E237" s="3" t="s">
        <v>211</v>
      </c>
      <c r="F237" s="3" t="s">
        <v>23</v>
      </c>
      <c r="G237" s="3" t="s">
        <v>95</v>
      </c>
      <c r="H237" s="3" t="s">
        <v>126</v>
      </c>
      <c r="I237" s="3" t="s">
        <v>127</v>
      </c>
      <c r="J237" s="3" t="s">
        <v>67</v>
      </c>
      <c r="K237" s="3" t="s">
        <v>128</v>
      </c>
      <c r="L237" s="3" t="s">
        <v>29</v>
      </c>
      <c r="M237" s="3" t="s">
        <v>23</v>
      </c>
      <c r="N237" s="4" t="n">
        <v>96</v>
      </c>
      <c r="O237" s="5" t="n">
        <v>6.17</v>
      </c>
      <c r="P237" s="6" t="n">
        <v>0.05</v>
      </c>
      <c r="Q237" s="5" t="n">
        <f aca="false">N237*O237*(1-P237)</f>
        <v>562.704</v>
      </c>
      <c r="R237" s="5" t="n">
        <v>358.75</v>
      </c>
      <c r="S237" s="6" t="n">
        <f aca="false">IFERROR((Q237-R237)/Q237,0)</f>
        <v>0.362453439108306</v>
      </c>
    </row>
    <row r="238" customFormat="false" ht="15" hidden="false" customHeight="false" outlineLevel="0" collapsed="false">
      <c r="A238" s="2" t="n">
        <v>45522</v>
      </c>
      <c r="B238" s="3" t="s">
        <v>291</v>
      </c>
      <c r="C238" s="3" t="s">
        <v>209</v>
      </c>
      <c r="D238" s="3" t="s">
        <v>210</v>
      </c>
      <c r="E238" s="3" t="s">
        <v>211</v>
      </c>
      <c r="F238" s="3" t="s">
        <v>23</v>
      </c>
      <c r="G238" s="3" t="s">
        <v>95</v>
      </c>
      <c r="H238" s="3" t="s">
        <v>108</v>
      </c>
      <c r="I238" s="3" t="s">
        <v>109</v>
      </c>
      <c r="J238" s="3" t="s">
        <v>48</v>
      </c>
      <c r="K238" s="3" t="s">
        <v>110</v>
      </c>
      <c r="L238" s="3" t="s">
        <v>29</v>
      </c>
      <c r="M238" s="3" t="s">
        <v>23</v>
      </c>
      <c r="N238" s="4" t="n">
        <v>48</v>
      </c>
      <c r="O238" s="5" t="n">
        <v>7.45</v>
      </c>
      <c r="P238" s="6" t="n">
        <v>0</v>
      </c>
      <c r="Q238" s="5" t="n">
        <f aca="false">N238*O238*(1-P238)</f>
        <v>357.6</v>
      </c>
      <c r="R238" s="5" t="n">
        <v>204.48</v>
      </c>
      <c r="S238" s="6" t="n">
        <f aca="false">IFERROR((Q238-R238)/Q238,0)</f>
        <v>0.428187919463087</v>
      </c>
    </row>
    <row r="239" customFormat="false" ht="15" hidden="false" customHeight="false" outlineLevel="0" collapsed="false">
      <c r="A239" s="2" t="n">
        <v>45522</v>
      </c>
      <c r="B239" s="3" t="s">
        <v>291</v>
      </c>
      <c r="C239" s="3" t="s">
        <v>209</v>
      </c>
      <c r="D239" s="3" t="s">
        <v>210</v>
      </c>
      <c r="E239" s="3" t="s">
        <v>211</v>
      </c>
      <c r="F239" s="3" t="s">
        <v>23</v>
      </c>
      <c r="G239" s="3" t="s">
        <v>95</v>
      </c>
      <c r="H239" s="3" t="s">
        <v>87</v>
      </c>
      <c r="I239" s="3" t="s">
        <v>88</v>
      </c>
      <c r="J239" s="3" t="s">
        <v>89</v>
      </c>
      <c r="K239" s="3" t="s">
        <v>90</v>
      </c>
      <c r="L239" s="3" t="s">
        <v>29</v>
      </c>
      <c r="M239" s="3" t="s">
        <v>23</v>
      </c>
      <c r="N239" s="4" t="n">
        <v>24</v>
      </c>
      <c r="O239" s="5" t="n">
        <v>17.13</v>
      </c>
      <c r="P239" s="6" t="n">
        <v>0.05</v>
      </c>
      <c r="Q239" s="5" t="n">
        <f aca="false">N239*O239*(1-P239)</f>
        <v>390.564</v>
      </c>
      <c r="R239" s="5" t="n">
        <v>241.05</v>
      </c>
      <c r="S239" s="6" t="n">
        <f aca="false">IFERROR((Q239-R239)/Q239,0)</f>
        <v>0.382815620487295</v>
      </c>
    </row>
    <row r="240" customFormat="false" ht="15" hidden="false" customHeight="false" outlineLevel="0" collapsed="false">
      <c r="A240" s="2" t="n">
        <v>45522</v>
      </c>
      <c r="B240" s="3" t="s">
        <v>291</v>
      </c>
      <c r="C240" s="3" t="s">
        <v>209</v>
      </c>
      <c r="D240" s="3" t="s">
        <v>210</v>
      </c>
      <c r="E240" s="3" t="s">
        <v>211</v>
      </c>
      <c r="F240" s="3" t="s">
        <v>23</v>
      </c>
      <c r="G240" s="3" t="s">
        <v>95</v>
      </c>
      <c r="H240" s="3" t="s">
        <v>58</v>
      </c>
      <c r="I240" s="3" t="s">
        <v>59</v>
      </c>
      <c r="J240" s="3" t="s">
        <v>32</v>
      </c>
      <c r="K240" s="3" t="s">
        <v>60</v>
      </c>
      <c r="L240" s="3" t="s">
        <v>29</v>
      </c>
      <c r="M240" s="3" t="s">
        <v>23</v>
      </c>
      <c r="N240" s="4" t="n">
        <v>60</v>
      </c>
      <c r="O240" s="5" t="n">
        <v>5.75</v>
      </c>
      <c r="P240" s="6" t="n">
        <v>0</v>
      </c>
      <c r="Q240" s="5" t="n">
        <f aca="false">N240*O240*(1-P240)</f>
        <v>345</v>
      </c>
      <c r="R240" s="5" t="n">
        <v>200.75</v>
      </c>
      <c r="S240" s="6" t="n">
        <f aca="false">IFERROR((Q240-R240)/Q240,0)</f>
        <v>0.418115942028986</v>
      </c>
    </row>
    <row r="241" customFormat="false" ht="15" hidden="false" customHeight="false" outlineLevel="0" collapsed="false">
      <c r="A241" s="2" t="n">
        <v>45524</v>
      </c>
      <c r="B241" s="3" t="s">
        <v>292</v>
      </c>
      <c r="C241" s="3" t="s">
        <v>167</v>
      </c>
      <c r="D241" s="3" t="s">
        <v>168</v>
      </c>
      <c r="E241" s="3" t="s">
        <v>169</v>
      </c>
      <c r="F241" s="3" t="s">
        <v>170</v>
      </c>
      <c r="G241" s="3" t="s">
        <v>39</v>
      </c>
      <c r="H241" s="3" t="s">
        <v>46</v>
      </c>
      <c r="I241" s="3" t="s">
        <v>47</v>
      </c>
      <c r="J241" s="3" t="s">
        <v>48</v>
      </c>
      <c r="K241" s="3" t="s">
        <v>49</v>
      </c>
      <c r="L241" s="3" t="s">
        <v>106</v>
      </c>
      <c r="M241" s="3" t="s">
        <v>107</v>
      </c>
      <c r="N241" s="4" t="n">
        <v>60</v>
      </c>
      <c r="O241" s="5" t="n">
        <v>15.06</v>
      </c>
      <c r="P241" s="6" t="n">
        <v>0.05</v>
      </c>
      <c r="Q241" s="5" t="n">
        <f aca="false">N241*O241*(1-P241)</f>
        <v>858.42</v>
      </c>
      <c r="R241" s="5" t="n">
        <v>572.23</v>
      </c>
      <c r="S241" s="6" t="n">
        <f aca="false">IFERROR((Q241-R241)/Q241,0)</f>
        <v>0.333391579879313</v>
      </c>
    </row>
    <row r="242" customFormat="false" ht="15" hidden="false" customHeight="false" outlineLevel="0" collapsed="false">
      <c r="A242" s="2" t="n">
        <v>45524</v>
      </c>
      <c r="B242" s="3" t="s">
        <v>293</v>
      </c>
      <c r="C242" s="3" t="s">
        <v>151</v>
      </c>
      <c r="D242" s="3" t="s">
        <v>152</v>
      </c>
      <c r="E242" s="3" t="s">
        <v>153</v>
      </c>
      <c r="F242" s="3" t="s">
        <v>38</v>
      </c>
      <c r="G242" s="3" t="s">
        <v>95</v>
      </c>
      <c r="H242" s="3" t="s">
        <v>30</v>
      </c>
      <c r="I242" s="3" t="s">
        <v>31</v>
      </c>
      <c r="J242" s="3" t="s">
        <v>32</v>
      </c>
      <c r="K242" s="3" t="s">
        <v>33</v>
      </c>
      <c r="L242" s="3" t="s">
        <v>40</v>
      </c>
      <c r="M242" s="3" t="s">
        <v>38</v>
      </c>
      <c r="N242" s="4" t="n">
        <v>120</v>
      </c>
      <c r="O242" s="5" t="n">
        <v>25.51</v>
      </c>
      <c r="P242" s="6" t="n">
        <v>0</v>
      </c>
      <c r="Q242" s="5" t="n">
        <f aca="false">N242*O242*(1-P242)</f>
        <v>3061.2</v>
      </c>
      <c r="R242" s="5" t="n">
        <v>1818.85</v>
      </c>
      <c r="S242" s="6" t="n">
        <f aca="false">IFERROR((Q242-R242)/Q242,0)</f>
        <v>0.405837580033974</v>
      </c>
    </row>
    <row r="243" customFormat="false" ht="15" hidden="false" customHeight="false" outlineLevel="0" collapsed="false">
      <c r="A243" s="2" t="n">
        <v>45524</v>
      </c>
      <c r="B243" s="3" t="s">
        <v>293</v>
      </c>
      <c r="C243" s="3" t="s">
        <v>151</v>
      </c>
      <c r="D243" s="3" t="s">
        <v>152</v>
      </c>
      <c r="E243" s="3" t="s">
        <v>153</v>
      </c>
      <c r="F243" s="3" t="s">
        <v>38</v>
      </c>
      <c r="G243" s="3" t="s">
        <v>95</v>
      </c>
      <c r="H243" s="3" t="s">
        <v>25</v>
      </c>
      <c r="I243" s="3" t="s">
        <v>26</v>
      </c>
      <c r="J243" s="3" t="s">
        <v>27</v>
      </c>
      <c r="K243" s="3" t="s">
        <v>28</v>
      </c>
      <c r="L243" s="3" t="s">
        <v>40</v>
      </c>
      <c r="M243" s="3" t="s">
        <v>38</v>
      </c>
      <c r="N243" s="4" t="n">
        <v>12</v>
      </c>
      <c r="O243" s="5" t="n">
        <v>6.83</v>
      </c>
      <c r="P243" s="6" t="n">
        <v>0.15</v>
      </c>
      <c r="Q243" s="5" t="n">
        <f aca="false">N243*O243*(1-P243)</f>
        <v>69.666</v>
      </c>
      <c r="R243" s="5" t="n">
        <v>49.6</v>
      </c>
      <c r="S243" s="6" t="n">
        <f aca="false">IFERROR((Q243-R243)/Q243,0)</f>
        <v>0.288031464415928</v>
      </c>
    </row>
    <row r="244" customFormat="false" ht="15" hidden="false" customHeight="false" outlineLevel="0" collapsed="false">
      <c r="A244" s="2" t="n">
        <v>45524</v>
      </c>
      <c r="B244" s="3" t="s">
        <v>293</v>
      </c>
      <c r="C244" s="3" t="s">
        <v>151</v>
      </c>
      <c r="D244" s="3" t="s">
        <v>152</v>
      </c>
      <c r="E244" s="3" t="s">
        <v>153</v>
      </c>
      <c r="F244" s="3" t="s">
        <v>38</v>
      </c>
      <c r="G244" s="3" t="s">
        <v>95</v>
      </c>
      <c r="H244" s="3" t="s">
        <v>87</v>
      </c>
      <c r="I244" s="3" t="s">
        <v>88</v>
      </c>
      <c r="J244" s="3" t="s">
        <v>89</v>
      </c>
      <c r="K244" s="3" t="s">
        <v>90</v>
      </c>
      <c r="L244" s="3" t="s">
        <v>40</v>
      </c>
      <c r="M244" s="3" t="s">
        <v>38</v>
      </c>
      <c r="N244" s="4" t="n">
        <v>12</v>
      </c>
      <c r="O244" s="5" t="n">
        <v>15.34</v>
      </c>
      <c r="P244" s="6" t="n">
        <v>0.15</v>
      </c>
      <c r="Q244" s="5" t="n">
        <f aca="false">N244*O244*(1-P244)</f>
        <v>156.468</v>
      </c>
      <c r="R244" s="5" t="n">
        <v>123.15</v>
      </c>
      <c r="S244" s="6" t="n">
        <f aca="false">IFERROR((Q244-R244)/Q244,0)</f>
        <v>0.212938108750671</v>
      </c>
    </row>
    <row r="245" customFormat="false" ht="15" hidden="false" customHeight="false" outlineLevel="0" collapsed="false">
      <c r="A245" s="2" t="n">
        <v>45525</v>
      </c>
      <c r="B245" s="3" t="s">
        <v>294</v>
      </c>
      <c r="C245" s="3" t="s">
        <v>209</v>
      </c>
      <c r="D245" s="3" t="s">
        <v>210</v>
      </c>
      <c r="E245" s="3" t="s">
        <v>211</v>
      </c>
      <c r="F245" s="3" t="s">
        <v>23</v>
      </c>
      <c r="G245" s="3" t="s">
        <v>95</v>
      </c>
      <c r="H245" s="3" t="s">
        <v>158</v>
      </c>
      <c r="I245" s="3" t="s">
        <v>159</v>
      </c>
      <c r="J245" s="3" t="s">
        <v>27</v>
      </c>
      <c r="K245" s="3" t="s">
        <v>149</v>
      </c>
      <c r="L245" s="3" t="s">
        <v>29</v>
      </c>
      <c r="M245" s="3" t="s">
        <v>23</v>
      </c>
      <c r="N245" s="4" t="n">
        <v>24</v>
      </c>
      <c r="O245" s="5" t="n">
        <v>7.05</v>
      </c>
      <c r="P245" s="6" t="n">
        <v>0</v>
      </c>
      <c r="Q245" s="5" t="n">
        <f aca="false">N245*O245*(1-P245)</f>
        <v>169.2</v>
      </c>
      <c r="R245" s="5" t="n">
        <v>109.18</v>
      </c>
      <c r="S245" s="6" t="n">
        <f aca="false">IFERROR((Q245-R245)/Q245,0)</f>
        <v>0.354728132387707</v>
      </c>
    </row>
    <row r="246" customFormat="false" ht="15" hidden="false" customHeight="false" outlineLevel="0" collapsed="false">
      <c r="A246" s="2" t="n">
        <v>45525</v>
      </c>
      <c r="B246" s="3" t="s">
        <v>294</v>
      </c>
      <c r="C246" s="3" t="s">
        <v>209</v>
      </c>
      <c r="D246" s="3" t="s">
        <v>210</v>
      </c>
      <c r="E246" s="3" t="s">
        <v>211</v>
      </c>
      <c r="F246" s="3" t="s">
        <v>23</v>
      </c>
      <c r="G246" s="3" t="s">
        <v>95</v>
      </c>
      <c r="H246" s="3" t="s">
        <v>164</v>
      </c>
      <c r="I246" s="3" t="s">
        <v>165</v>
      </c>
      <c r="J246" s="3" t="s">
        <v>32</v>
      </c>
      <c r="K246" s="3" t="s">
        <v>60</v>
      </c>
      <c r="L246" s="3" t="s">
        <v>29</v>
      </c>
      <c r="M246" s="3" t="s">
        <v>23</v>
      </c>
      <c r="N246" s="4" t="n">
        <v>12</v>
      </c>
      <c r="O246" s="5" t="n">
        <v>13.87</v>
      </c>
      <c r="P246" s="6" t="n">
        <v>0.15</v>
      </c>
      <c r="Q246" s="5" t="n">
        <f aca="false">N246*O246*(1-P246)</f>
        <v>141.474</v>
      </c>
      <c r="R246" s="5" t="n">
        <v>103.5</v>
      </c>
      <c r="S246" s="6" t="n">
        <f aca="false">IFERROR((Q246-R246)/Q246,0)</f>
        <v>0.268416811569617</v>
      </c>
    </row>
    <row r="247" customFormat="false" ht="15" hidden="false" customHeight="false" outlineLevel="0" collapsed="false">
      <c r="A247" s="2" t="n">
        <v>45525</v>
      </c>
      <c r="B247" s="3" t="s">
        <v>294</v>
      </c>
      <c r="C247" s="3" t="s">
        <v>209</v>
      </c>
      <c r="D247" s="3" t="s">
        <v>210</v>
      </c>
      <c r="E247" s="3" t="s">
        <v>211</v>
      </c>
      <c r="F247" s="3" t="s">
        <v>23</v>
      </c>
      <c r="G247" s="3" t="s">
        <v>95</v>
      </c>
      <c r="H247" s="3" t="s">
        <v>173</v>
      </c>
      <c r="I247" s="3" t="s">
        <v>174</v>
      </c>
      <c r="J247" s="3" t="s">
        <v>27</v>
      </c>
      <c r="K247" s="3" t="s">
        <v>175</v>
      </c>
      <c r="L247" s="3" t="s">
        <v>29</v>
      </c>
      <c r="M247" s="3" t="s">
        <v>23</v>
      </c>
      <c r="N247" s="4" t="n">
        <v>6</v>
      </c>
      <c r="O247" s="5" t="n">
        <v>17.07</v>
      </c>
      <c r="P247" s="6" t="n">
        <v>0.1</v>
      </c>
      <c r="Q247" s="5" t="n">
        <f aca="false">N247*O247*(1-P247)</f>
        <v>92.178</v>
      </c>
      <c r="R247" s="5" t="n">
        <v>65.64</v>
      </c>
      <c r="S247" s="6" t="n">
        <f aca="false">IFERROR((Q247-R247)/Q247,0)</f>
        <v>0.287899498795808</v>
      </c>
    </row>
    <row r="248" customFormat="false" ht="15" hidden="false" customHeight="false" outlineLevel="0" collapsed="false">
      <c r="A248" s="2" t="n">
        <v>45528</v>
      </c>
      <c r="B248" s="3" t="s">
        <v>295</v>
      </c>
      <c r="C248" s="3" t="s">
        <v>116</v>
      </c>
      <c r="D248" s="3" t="s">
        <v>117</v>
      </c>
      <c r="E248" s="3" t="s">
        <v>118</v>
      </c>
      <c r="F248" s="3" t="s">
        <v>45</v>
      </c>
      <c r="G248" s="3" t="s">
        <v>39</v>
      </c>
      <c r="H248" s="3" t="s">
        <v>222</v>
      </c>
      <c r="I248" s="3" t="s">
        <v>223</v>
      </c>
      <c r="J248" s="3" t="s">
        <v>67</v>
      </c>
      <c r="K248" s="3" t="s">
        <v>184</v>
      </c>
      <c r="L248" s="3" t="s">
        <v>50</v>
      </c>
      <c r="M248" s="3" t="s">
        <v>45</v>
      </c>
      <c r="N248" s="4" t="n">
        <v>96</v>
      </c>
      <c r="O248" s="5" t="n">
        <v>19.87</v>
      </c>
      <c r="P248" s="6" t="n">
        <v>0.05</v>
      </c>
      <c r="Q248" s="5" t="n">
        <f aca="false">N248*O248*(1-P248)</f>
        <v>1812.144</v>
      </c>
      <c r="R248" s="5" t="n">
        <v>1103.83</v>
      </c>
      <c r="S248" s="6" t="n">
        <f aca="false">IFERROR((Q248-R248)/Q248,0)</f>
        <v>0.390870703431957</v>
      </c>
    </row>
    <row r="249" customFormat="false" ht="15" hidden="false" customHeight="false" outlineLevel="0" collapsed="false">
      <c r="A249" s="2" t="n">
        <v>45529</v>
      </c>
      <c r="B249" s="3" t="s">
        <v>296</v>
      </c>
      <c r="C249" s="3" t="s">
        <v>283</v>
      </c>
      <c r="D249" s="3" t="s">
        <v>284</v>
      </c>
      <c r="E249" s="3" t="s">
        <v>285</v>
      </c>
      <c r="F249" s="3" t="s">
        <v>45</v>
      </c>
      <c r="G249" s="3" t="s">
        <v>39</v>
      </c>
      <c r="H249" s="3" t="s">
        <v>173</v>
      </c>
      <c r="I249" s="3" t="s">
        <v>174</v>
      </c>
      <c r="J249" s="3" t="s">
        <v>27</v>
      </c>
      <c r="K249" s="3" t="s">
        <v>175</v>
      </c>
      <c r="L249" s="3" t="s">
        <v>50</v>
      </c>
      <c r="M249" s="3" t="s">
        <v>45</v>
      </c>
      <c r="N249" s="4" t="n">
        <v>24</v>
      </c>
      <c r="O249" s="5" t="n">
        <v>18.68</v>
      </c>
      <c r="P249" s="6" t="n">
        <v>0</v>
      </c>
      <c r="Q249" s="5" t="n">
        <f aca="false">N249*O249*(1-P249)</f>
        <v>448.32</v>
      </c>
      <c r="R249" s="5" t="n">
        <v>267.45</v>
      </c>
      <c r="S249" s="6" t="n">
        <f aca="false">IFERROR((Q249-R249)/Q249,0)</f>
        <v>0.403439507494647</v>
      </c>
    </row>
    <row r="250" customFormat="false" ht="15" hidden="false" customHeight="false" outlineLevel="0" collapsed="false">
      <c r="A250" s="2" t="n">
        <v>45529</v>
      </c>
      <c r="B250" s="3" t="s">
        <v>296</v>
      </c>
      <c r="C250" s="3" t="s">
        <v>283</v>
      </c>
      <c r="D250" s="3" t="s">
        <v>284</v>
      </c>
      <c r="E250" s="3" t="s">
        <v>285</v>
      </c>
      <c r="F250" s="3" t="s">
        <v>45</v>
      </c>
      <c r="G250" s="3" t="s">
        <v>39</v>
      </c>
      <c r="H250" s="3" t="s">
        <v>171</v>
      </c>
      <c r="I250" s="3" t="s">
        <v>172</v>
      </c>
      <c r="J250" s="3" t="s">
        <v>27</v>
      </c>
      <c r="K250" s="3" t="s">
        <v>140</v>
      </c>
      <c r="L250" s="3" t="s">
        <v>50</v>
      </c>
      <c r="M250" s="3" t="s">
        <v>45</v>
      </c>
      <c r="N250" s="4" t="n">
        <v>6</v>
      </c>
      <c r="O250" s="5" t="n">
        <v>4.01</v>
      </c>
      <c r="P250" s="6" t="n">
        <v>0.05</v>
      </c>
      <c r="Q250" s="5" t="n">
        <f aca="false">N250*O250*(1-P250)</f>
        <v>22.857</v>
      </c>
      <c r="R250" s="5" t="n">
        <v>14.79</v>
      </c>
      <c r="S250" s="6" t="n">
        <f aca="false">IFERROR((Q250-R250)/Q250,0)</f>
        <v>0.352933455834099</v>
      </c>
    </row>
    <row r="251" customFormat="false" ht="15" hidden="false" customHeight="false" outlineLevel="0" collapsed="false">
      <c r="A251" s="2" t="n">
        <v>45529</v>
      </c>
      <c r="B251" s="3" t="s">
        <v>296</v>
      </c>
      <c r="C251" s="3" t="s">
        <v>283</v>
      </c>
      <c r="D251" s="3" t="s">
        <v>284</v>
      </c>
      <c r="E251" s="3" t="s">
        <v>285</v>
      </c>
      <c r="F251" s="3" t="s">
        <v>45</v>
      </c>
      <c r="G251" s="3" t="s">
        <v>39</v>
      </c>
      <c r="H251" s="3" t="s">
        <v>138</v>
      </c>
      <c r="I251" s="3" t="s">
        <v>139</v>
      </c>
      <c r="J251" s="3" t="s">
        <v>27</v>
      </c>
      <c r="K251" s="3" t="s">
        <v>140</v>
      </c>
      <c r="L251" s="3" t="s">
        <v>50</v>
      </c>
      <c r="M251" s="3" t="s">
        <v>45</v>
      </c>
      <c r="N251" s="4" t="n">
        <v>72</v>
      </c>
      <c r="O251" s="5" t="n">
        <v>3.74</v>
      </c>
      <c r="P251" s="6" t="n">
        <v>0</v>
      </c>
      <c r="Q251" s="5" t="n">
        <f aca="false">N251*O251*(1-P251)</f>
        <v>269.28</v>
      </c>
      <c r="R251" s="5" t="n">
        <v>166.77</v>
      </c>
      <c r="S251" s="6" t="n">
        <f aca="false">IFERROR((Q251-R251)/Q251,0)</f>
        <v>0.380681818181818</v>
      </c>
    </row>
    <row r="252" customFormat="false" ht="15" hidden="false" customHeight="false" outlineLevel="0" collapsed="false">
      <c r="A252" s="2" t="n">
        <v>45530</v>
      </c>
      <c r="B252" s="3" t="s">
        <v>297</v>
      </c>
      <c r="C252" s="3" t="s">
        <v>77</v>
      </c>
      <c r="D252" s="3" t="s">
        <v>78</v>
      </c>
      <c r="E252" s="3" t="s">
        <v>79</v>
      </c>
      <c r="F252" s="3" t="s">
        <v>45</v>
      </c>
      <c r="G252" s="3" t="s">
        <v>80</v>
      </c>
      <c r="H252" s="3" t="s">
        <v>158</v>
      </c>
      <c r="I252" s="3" t="s">
        <v>159</v>
      </c>
      <c r="J252" s="3" t="s">
        <v>27</v>
      </c>
      <c r="K252" s="3" t="s">
        <v>149</v>
      </c>
      <c r="L252" s="3" t="s">
        <v>50</v>
      </c>
      <c r="M252" s="3" t="s">
        <v>45</v>
      </c>
      <c r="N252" s="4" t="n">
        <v>96</v>
      </c>
      <c r="O252" s="5" t="n">
        <v>7.67</v>
      </c>
      <c r="P252" s="6" t="n">
        <v>0</v>
      </c>
      <c r="Q252" s="5" t="n">
        <f aca="false">N252*O252*(1-P252)</f>
        <v>736.32</v>
      </c>
      <c r="R252" s="5" t="n">
        <v>438.16</v>
      </c>
      <c r="S252" s="6" t="n">
        <f aca="false">IFERROR((Q252-R252)/Q252,0)</f>
        <v>0.404932637983485</v>
      </c>
    </row>
    <row r="253" customFormat="false" ht="15" hidden="false" customHeight="false" outlineLevel="0" collapsed="false">
      <c r="A253" s="2" t="n">
        <v>45530</v>
      </c>
      <c r="B253" s="3" t="s">
        <v>297</v>
      </c>
      <c r="C253" s="3" t="s">
        <v>77</v>
      </c>
      <c r="D253" s="3" t="s">
        <v>78</v>
      </c>
      <c r="E253" s="3" t="s">
        <v>79</v>
      </c>
      <c r="F253" s="3" t="s">
        <v>45</v>
      </c>
      <c r="G253" s="3" t="s">
        <v>80</v>
      </c>
      <c r="H253" s="3" t="s">
        <v>112</v>
      </c>
      <c r="I253" s="3" t="s">
        <v>113</v>
      </c>
      <c r="J253" s="3" t="s">
        <v>67</v>
      </c>
      <c r="K253" s="3" t="s">
        <v>114</v>
      </c>
      <c r="L253" s="3" t="s">
        <v>50</v>
      </c>
      <c r="M253" s="3" t="s">
        <v>45</v>
      </c>
      <c r="N253" s="4" t="n">
        <v>96</v>
      </c>
      <c r="O253" s="5" t="n">
        <v>9.76</v>
      </c>
      <c r="P253" s="6" t="n">
        <v>0.05</v>
      </c>
      <c r="Q253" s="5" t="n">
        <f aca="false">N253*O253*(1-P253)</f>
        <v>890.112</v>
      </c>
      <c r="R253" s="5" t="n">
        <v>561.84</v>
      </c>
      <c r="S253" s="6" t="n">
        <f aca="false">IFERROR((Q253-R253)/Q253,0)</f>
        <v>0.368798533218292</v>
      </c>
    </row>
    <row r="254" customFormat="false" ht="15" hidden="false" customHeight="false" outlineLevel="0" collapsed="false">
      <c r="A254" s="2" t="n">
        <v>45530</v>
      </c>
      <c r="B254" s="3" t="s">
        <v>297</v>
      </c>
      <c r="C254" s="3" t="s">
        <v>77</v>
      </c>
      <c r="D254" s="3" t="s">
        <v>78</v>
      </c>
      <c r="E254" s="3" t="s">
        <v>79</v>
      </c>
      <c r="F254" s="3" t="s">
        <v>45</v>
      </c>
      <c r="G254" s="3" t="s">
        <v>80</v>
      </c>
      <c r="H254" s="3" t="s">
        <v>51</v>
      </c>
      <c r="I254" s="3" t="s">
        <v>52</v>
      </c>
      <c r="J254" s="3" t="s">
        <v>27</v>
      </c>
      <c r="K254" s="3" t="s">
        <v>53</v>
      </c>
      <c r="L254" s="3" t="s">
        <v>50</v>
      </c>
      <c r="M254" s="3" t="s">
        <v>45</v>
      </c>
      <c r="N254" s="4" t="n">
        <v>96</v>
      </c>
      <c r="O254" s="5" t="n">
        <v>22.64</v>
      </c>
      <c r="P254" s="6" t="n">
        <v>0.15</v>
      </c>
      <c r="Q254" s="5" t="n">
        <f aca="false">N254*O254*(1-P254)</f>
        <v>1847.424</v>
      </c>
      <c r="R254" s="5" t="n">
        <v>1360.12</v>
      </c>
      <c r="S254" s="6" t="n">
        <f aca="false">IFERROR((Q254-R254)/Q254,0)</f>
        <v>0.263774856232246</v>
      </c>
    </row>
    <row r="255" customFormat="false" ht="15" hidden="false" customHeight="false" outlineLevel="0" collapsed="false">
      <c r="A255" s="2" t="n">
        <v>45530</v>
      </c>
      <c r="B255" s="3" t="s">
        <v>297</v>
      </c>
      <c r="C255" s="3" t="s">
        <v>77</v>
      </c>
      <c r="D255" s="3" t="s">
        <v>78</v>
      </c>
      <c r="E255" s="3" t="s">
        <v>79</v>
      </c>
      <c r="F255" s="3" t="s">
        <v>45</v>
      </c>
      <c r="G255" s="3" t="s">
        <v>80</v>
      </c>
      <c r="H255" s="3" t="s">
        <v>30</v>
      </c>
      <c r="I255" s="3" t="s">
        <v>31</v>
      </c>
      <c r="J255" s="3" t="s">
        <v>32</v>
      </c>
      <c r="K255" s="3" t="s">
        <v>33</v>
      </c>
      <c r="L255" s="3" t="s">
        <v>50</v>
      </c>
      <c r="M255" s="3" t="s">
        <v>45</v>
      </c>
      <c r="N255" s="4" t="n">
        <v>120</v>
      </c>
      <c r="O255" s="5" t="n">
        <v>23.4</v>
      </c>
      <c r="P255" s="6" t="n">
        <v>0.05</v>
      </c>
      <c r="Q255" s="5" t="n">
        <f aca="false">N255*O255*(1-P255)</f>
        <v>2667.6</v>
      </c>
      <c r="R255" s="5" t="n">
        <v>1798.97</v>
      </c>
      <c r="S255" s="6" t="n">
        <f aca="false">IFERROR((Q255-R255)/Q255,0)</f>
        <v>0.32562228220123</v>
      </c>
    </row>
    <row r="256" customFormat="false" ht="15" hidden="false" customHeight="false" outlineLevel="0" collapsed="false">
      <c r="A256" s="2" t="n">
        <v>45532</v>
      </c>
      <c r="B256" s="3" t="s">
        <v>298</v>
      </c>
      <c r="C256" s="3" t="s">
        <v>155</v>
      </c>
      <c r="D256" s="3" t="s">
        <v>156</v>
      </c>
      <c r="E256" s="3" t="s">
        <v>157</v>
      </c>
      <c r="F256" s="3" t="s">
        <v>38</v>
      </c>
      <c r="G256" s="3" t="s">
        <v>39</v>
      </c>
      <c r="H256" s="3" t="s">
        <v>173</v>
      </c>
      <c r="I256" s="3" t="s">
        <v>174</v>
      </c>
      <c r="J256" s="3" t="s">
        <v>27</v>
      </c>
      <c r="K256" s="3" t="s">
        <v>175</v>
      </c>
      <c r="L256" s="3" t="s">
        <v>40</v>
      </c>
      <c r="M256" s="3" t="s">
        <v>38</v>
      </c>
      <c r="N256" s="4" t="n">
        <v>12</v>
      </c>
      <c r="O256" s="5" t="n">
        <v>17.72</v>
      </c>
      <c r="P256" s="6" t="n">
        <v>0</v>
      </c>
      <c r="Q256" s="5" t="n">
        <f aca="false">N256*O256*(1-P256)</f>
        <v>212.64</v>
      </c>
      <c r="R256" s="5" t="n">
        <v>132</v>
      </c>
      <c r="S256" s="6" t="n">
        <f aca="false">IFERROR((Q256-R256)/Q256,0)</f>
        <v>0.379232505643341</v>
      </c>
    </row>
    <row r="257" customFormat="false" ht="15" hidden="false" customHeight="false" outlineLevel="0" collapsed="false">
      <c r="A257" s="2" t="n">
        <v>45533</v>
      </c>
      <c r="B257" s="3" t="s">
        <v>299</v>
      </c>
      <c r="C257" s="3" t="s">
        <v>102</v>
      </c>
      <c r="D257" s="3" t="s">
        <v>103</v>
      </c>
      <c r="E257" s="3" t="s">
        <v>104</v>
      </c>
      <c r="F257" s="3" t="s">
        <v>105</v>
      </c>
      <c r="G257" s="3" t="s">
        <v>24</v>
      </c>
      <c r="H257" s="3" t="s">
        <v>73</v>
      </c>
      <c r="I257" s="3" t="s">
        <v>74</v>
      </c>
      <c r="J257" s="3" t="s">
        <v>48</v>
      </c>
      <c r="K257" s="3" t="s">
        <v>75</v>
      </c>
      <c r="L257" s="3" t="s">
        <v>40</v>
      </c>
      <c r="M257" s="3" t="s">
        <v>38</v>
      </c>
      <c r="N257" s="4" t="n">
        <v>96</v>
      </c>
      <c r="O257" s="5" t="n">
        <v>8.44</v>
      </c>
      <c r="P257" s="6" t="n">
        <v>0</v>
      </c>
      <c r="Q257" s="5" t="n">
        <f aca="false">N257*O257*(1-P257)</f>
        <v>810.24</v>
      </c>
      <c r="R257" s="5" t="n">
        <v>523.91</v>
      </c>
      <c r="S257" s="6" t="n">
        <f aca="false">IFERROR((Q257-R257)/Q257,0)</f>
        <v>0.353389119273302</v>
      </c>
    </row>
    <row r="258" customFormat="false" ht="15" hidden="false" customHeight="false" outlineLevel="0" collapsed="false">
      <c r="A258" s="2" t="n">
        <v>45534</v>
      </c>
      <c r="B258" s="3" t="s">
        <v>300</v>
      </c>
      <c r="C258" s="3" t="s">
        <v>151</v>
      </c>
      <c r="D258" s="3" t="s">
        <v>152</v>
      </c>
      <c r="E258" s="3" t="s">
        <v>153</v>
      </c>
      <c r="F258" s="3" t="s">
        <v>38</v>
      </c>
      <c r="G258" s="3" t="s">
        <v>95</v>
      </c>
      <c r="H258" s="3" t="s">
        <v>119</v>
      </c>
      <c r="I258" s="3" t="s">
        <v>120</v>
      </c>
      <c r="J258" s="3" t="s">
        <v>89</v>
      </c>
      <c r="K258" s="3" t="s">
        <v>121</v>
      </c>
      <c r="L258" s="3" t="s">
        <v>40</v>
      </c>
      <c r="M258" s="3" t="s">
        <v>38</v>
      </c>
      <c r="N258" s="4" t="n">
        <v>48</v>
      </c>
      <c r="O258" s="5" t="n">
        <v>11.14</v>
      </c>
      <c r="P258" s="6" t="n">
        <v>0</v>
      </c>
      <c r="Q258" s="5" t="n">
        <f aca="false">N258*O258*(1-P258)</f>
        <v>534.72</v>
      </c>
      <c r="R258" s="5" t="n">
        <v>329.88</v>
      </c>
      <c r="S258" s="6" t="n">
        <f aca="false">IFERROR((Q258-R258)/Q258,0)</f>
        <v>0.383078994614004</v>
      </c>
    </row>
    <row r="259" customFormat="false" ht="15" hidden="false" customHeight="false" outlineLevel="0" collapsed="false">
      <c r="A259" s="2" t="n">
        <v>45539</v>
      </c>
      <c r="B259" s="3" t="s">
        <v>301</v>
      </c>
      <c r="C259" s="3" t="s">
        <v>20</v>
      </c>
      <c r="D259" s="3" t="s">
        <v>21</v>
      </c>
      <c r="E259" s="3" t="s">
        <v>22</v>
      </c>
      <c r="F259" s="3" t="s">
        <v>23</v>
      </c>
      <c r="G259" s="3" t="s">
        <v>24</v>
      </c>
      <c r="H259" s="3" t="s">
        <v>108</v>
      </c>
      <c r="I259" s="3" t="s">
        <v>109</v>
      </c>
      <c r="J259" s="3" t="s">
        <v>48</v>
      </c>
      <c r="K259" s="3" t="s">
        <v>110</v>
      </c>
      <c r="L259" s="3" t="s">
        <v>29</v>
      </c>
      <c r="M259" s="3" t="s">
        <v>23</v>
      </c>
      <c r="N259" s="4" t="n">
        <v>60</v>
      </c>
      <c r="O259" s="5" t="n">
        <v>7.71</v>
      </c>
      <c r="P259" s="6" t="n">
        <v>0.1</v>
      </c>
      <c r="Q259" s="5" t="n">
        <f aca="false">N259*O259*(1-P259)</f>
        <v>416.34</v>
      </c>
      <c r="R259" s="5" t="n">
        <v>258.97</v>
      </c>
      <c r="S259" s="6" t="n">
        <f aca="false">IFERROR((Q259-R259)/Q259,0)</f>
        <v>0.377984339722342</v>
      </c>
    </row>
    <row r="260" customFormat="false" ht="15" hidden="false" customHeight="false" outlineLevel="0" collapsed="false">
      <c r="A260" s="2" t="n">
        <v>45540</v>
      </c>
      <c r="B260" s="3" t="s">
        <v>302</v>
      </c>
      <c r="C260" s="3" t="s">
        <v>35</v>
      </c>
      <c r="D260" s="3" t="s">
        <v>36</v>
      </c>
      <c r="E260" s="3" t="s">
        <v>37</v>
      </c>
      <c r="F260" s="3" t="s">
        <v>38</v>
      </c>
      <c r="G260" s="3" t="s">
        <v>39</v>
      </c>
      <c r="H260" s="3" t="s">
        <v>87</v>
      </c>
      <c r="I260" s="3" t="s">
        <v>88</v>
      </c>
      <c r="J260" s="3" t="s">
        <v>89</v>
      </c>
      <c r="K260" s="3" t="s">
        <v>90</v>
      </c>
      <c r="L260" s="3" t="s">
        <v>40</v>
      </c>
      <c r="M260" s="3" t="s">
        <v>38</v>
      </c>
      <c r="N260" s="4" t="n">
        <v>120</v>
      </c>
      <c r="O260" s="5" t="n">
        <v>15.82</v>
      </c>
      <c r="P260" s="6" t="n">
        <v>0.1</v>
      </c>
      <c r="Q260" s="5" t="n">
        <f aca="false">N260*O260*(1-P260)</f>
        <v>1708.56</v>
      </c>
      <c r="R260" s="5" t="n">
        <v>1226.91</v>
      </c>
      <c r="S260" s="6" t="n">
        <f aca="false">IFERROR((Q260-R260)/Q260,0)</f>
        <v>0.281904059558927</v>
      </c>
    </row>
    <row r="261" customFormat="false" ht="15" hidden="false" customHeight="false" outlineLevel="0" collapsed="false">
      <c r="A261" s="2" t="n">
        <v>45540</v>
      </c>
      <c r="B261" s="3" t="s">
        <v>302</v>
      </c>
      <c r="C261" s="3" t="s">
        <v>35</v>
      </c>
      <c r="D261" s="3" t="s">
        <v>36</v>
      </c>
      <c r="E261" s="3" t="s">
        <v>37</v>
      </c>
      <c r="F261" s="3" t="s">
        <v>38</v>
      </c>
      <c r="G261" s="3" t="s">
        <v>39</v>
      </c>
      <c r="H261" s="3" t="s">
        <v>182</v>
      </c>
      <c r="I261" s="3" t="s">
        <v>183</v>
      </c>
      <c r="J261" s="3" t="s">
        <v>67</v>
      </c>
      <c r="K261" s="3" t="s">
        <v>184</v>
      </c>
      <c r="L261" s="3" t="s">
        <v>40</v>
      </c>
      <c r="M261" s="3" t="s">
        <v>38</v>
      </c>
      <c r="N261" s="4" t="n">
        <v>12</v>
      </c>
      <c r="O261" s="5" t="n">
        <v>12.82</v>
      </c>
      <c r="P261" s="6" t="n">
        <v>0.05</v>
      </c>
      <c r="Q261" s="5" t="n">
        <f aca="false">N261*O261*(1-P261)</f>
        <v>146.148</v>
      </c>
      <c r="R261" s="5" t="n">
        <v>93.31</v>
      </c>
      <c r="S261" s="6" t="n">
        <f aca="false">IFERROR((Q261-R261)/Q261,0)</f>
        <v>0.361537619399513</v>
      </c>
    </row>
    <row r="262" customFormat="false" ht="15" hidden="false" customHeight="false" outlineLevel="0" collapsed="false">
      <c r="A262" s="2" t="n">
        <v>45543</v>
      </c>
      <c r="B262" s="3" t="s">
        <v>303</v>
      </c>
      <c r="C262" s="3" t="s">
        <v>253</v>
      </c>
      <c r="D262" s="3" t="s">
        <v>254</v>
      </c>
      <c r="E262" s="3" t="s">
        <v>255</v>
      </c>
      <c r="F262" s="3" t="s">
        <v>38</v>
      </c>
      <c r="G262" s="3" t="s">
        <v>95</v>
      </c>
      <c r="H262" s="3" t="s">
        <v>158</v>
      </c>
      <c r="I262" s="3" t="s">
        <v>159</v>
      </c>
      <c r="J262" s="3" t="s">
        <v>27</v>
      </c>
      <c r="K262" s="3" t="s">
        <v>149</v>
      </c>
      <c r="L262" s="3" t="s">
        <v>40</v>
      </c>
      <c r="M262" s="3" t="s">
        <v>38</v>
      </c>
      <c r="N262" s="4" t="n">
        <v>6</v>
      </c>
      <c r="O262" s="5" t="n">
        <v>7.12</v>
      </c>
      <c r="P262" s="6" t="n">
        <v>0</v>
      </c>
      <c r="Q262" s="5" t="n">
        <f aca="false">N262*O262*(1-P262)</f>
        <v>42.72</v>
      </c>
      <c r="R262" s="5" t="n">
        <v>27.35</v>
      </c>
      <c r="S262" s="6" t="n">
        <f aca="false">IFERROR((Q262-R262)/Q262,0)</f>
        <v>0.359784644194757</v>
      </c>
    </row>
    <row r="263" customFormat="false" ht="15" hidden="false" customHeight="false" outlineLevel="0" collapsed="false">
      <c r="A263" s="2" t="n">
        <v>45543</v>
      </c>
      <c r="B263" s="3" t="s">
        <v>303</v>
      </c>
      <c r="C263" s="3" t="s">
        <v>253</v>
      </c>
      <c r="D263" s="3" t="s">
        <v>254</v>
      </c>
      <c r="E263" s="3" t="s">
        <v>255</v>
      </c>
      <c r="F263" s="3" t="s">
        <v>38</v>
      </c>
      <c r="G263" s="3" t="s">
        <v>95</v>
      </c>
      <c r="H263" s="3" t="s">
        <v>108</v>
      </c>
      <c r="I263" s="3" t="s">
        <v>109</v>
      </c>
      <c r="J263" s="3" t="s">
        <v>48</v>
      </c>
      <c r="K263" s="3" t="s">
        <v>110</v>
      </c>
      <c r="L263" s="3" t="s">
        <v>40</v>
      </c>
      <c r="M263" s="3" t="s">
        <v>38</v>
      </c>
      <c r="N263" s="4" t="n">
        <v>120</v>
      </c>
      <c r="O263" s="5" t="n">
        <v>6.85</v>
      </c>
      <c r="P263" s="6" t="n">
        <v>0</v>
      </c>
      <c r="Q263" s="5" t="n">
        <f aca="false">N263*O263*(1-P263)</f>
        <v>822</v>
      </c>
      <c r="R263" s="5" t="n">
        <v>509.95</v>
      </c>
      <c r="S263" s="6" t="n">
        <f aca="false">IFERROR((Q263-R263)/Q263,0)</f>
        <v>0.379622871046229</v>
      </c>
    </row>
    <row r="264" customFormat="false" ht="15" hidden="false" customHeight="false" outlineLevel="0" collapsed="false">
      <c r="A264" s="2" t="n">
        <v>45546</v>
      </c>
      <c r="B264" s="3" t="s">
        <v>304</v>
      </c>
      <c r="C264" s="3" t="s">
        <v>62</v>
      </c>
      <c r="D264" s="3" t="s">
        <v>63</v>
      </c>
      <c r="E264" s="3" t="s">
        <v>64</v>
      </c>
      <c r="F264" s="3" t="s">
        <v>38</v>
      </c>
      <c r="G264" s="3" t="s">
        <v>39</v>
      </c>
      <c r="H264" s="3" t="s">
        <v>98</v>
      </c>
      <c r="I264" s="3" t="s">
        <v>99</v>
      </c>
      <c r="J264" s="3" t="s">
        <v>89</v>
      </c>
      <c r="K264" s="3" t="s">
        <v>100</v>
      </c>
      <c r="L264" s="3" t="s">
        <v>40</v>
      </c>
      <c r="M264" s="3" t="s">
        <v>38</v>
      </c>
      <c r="N264" s="4" t="n">
        <v>60</v>
      </c>
      <c r="O264" s="5" t="n">
        <v>23.9</v>
      </c>
      <c r="P264" s="6" t="n">
        <v>0.05</v>
      </c>
      <c r="Q264" s="5" t="n">
        <f aca="false">N264*O264*(1-P264)</f>
        <v>1362.3</v>
      </c>
      <c r="R264" s="5" t="n">
        <v>825.85</v>
      </c>
      <c r="S264" s="6" t="n">
        <f aca="false">IFERROR((Q264-R264)/Q264,0)</f>
        <v>0.393782573588784</v>
      </c>
    </row>
    <row r="265" customFormat="false" ht="15" hidden="false" customHeight="false" outlineLevel="0" collapsed="false">
      <c r="A265" s="2" t="n">
        <v>45546</v>
      </c>
      <c r="B265" s="3" t="s">
        <v>304</v>
      </c>
      <c r="C265" s="3" t="s">
        <v>62</v>
      </c>
      <c r="D265" s="3" t="s">
        <v>63</v>
      </c>
      <c r="E265" s="3" t="s">
        <v>64</v>
      </c>
      <c r="F265" s="3" t="s">
        <v>38</v>
      </c>
      <c r="G265" s="3" t="s">
        <v>39</v>
      </c>
      <c r="H265" s="3" t="s">
        <v>189</v>
      </c>
      <c r="I265" s="3" t="s">
        <v>190</v>
      </c>
      <c r="J265" s="3" t="s">
        <v>27</v>
      </c>
      <c r="K265" s="3" t="s">
        <v>149</v>
      </c>
      <c r="L265" s="3" t="s">
        <v>40</v>
      </c>
      <c r="M265" s="3" t="s">
        <v>38</v>
      </c>
      <c r="N265" s="4" t="n">
        <v>24</v>
      </c>
      <c r="O265" s="5" t="n">
        <v>9.57</v>
      </c>
      <c r="P265" s="6" t="n">
        <v>0.05</v>
      </c>
      <c r="Q265" s="5" t="n">
        <f aca="false">N265*O265*(1-P265)</f>
        <v>218.196</v>
      </c>
      <c r="R265" s="5" t="n">
        <v>136.99</v>
      </c>
      <c r="S265" s="6" t="n">
        <f aca="false">IFERROR((Q265-R265)/Q265,0)</f>
        <v>0.372169975618251</v>
      </c>
    </row>
    <row r="266" customFormat="false" ht="15" hidden="false" customHeight="false" outlineLevel="0" collapsed="false">
      <c r="A266" s="2" t="n">
        <v>45546</v>
      </c>
      <c r="B266" s="3" t="s">
        <v>304</v>
      </c>
      <c r="C266" s="3" t="s">
        <v>62</v>
      </c>
      <c r="D266" s="3" t="s">
        <v>63</v>
      </c>
      <c r="E266" s="3" t="s">
        <v>64</v>
      </c>
      <c r="F266" s="3" t="s">
        <v>38</v>
      </c>
      <c r="G266" s="3" t="s">
        <v>39</v>
      </c>
      <c r="H266" s="3" t="s">
        <v>141</v>
      </c>
      <c r="I266" s="3" t="s">
        <v>142</v>
      </c>
      <c r="J266" s="3" t="s">
        <v>89</v>
      </c>
      <c r="K266" s="3" t="s">
        <v>100</v>
      </c>
      <c r="L266" s="3" t="s">
        <v>40</v>
      </c>
      <c r="M266" s="3" t="s">
        <v>38</v>
      </c>
      <c r="N266" s="4" t="n">
        <v>60</v>
      </c>
      <c r="O266" s="5" t="n">
        <v>19.19</v>
      </c>
      <c r="P266" s="6" t="n">
        <v>0.05</v>
      </c>
      <c r="Q266" s="5" t="n">
        <f aca="false">N266*O266*(1-P266)</f>
        <v>1093.83</v>
      </c>
      <c r="R266" s="5" t="n">
        <v>722.24</v>
      </c>
      <c r="S266" s="6" t="n">
        <f aca="false">IFERROR((Q266-R266)/Q266,0)</f>
        <v>0.33971458087637</v>
      </c>
    </row>
    <row r="267" customFormat="false" ht="15" hidden="false" customHeight="false" outlineLevel="0" collapsed="false">
      <c r="A267" s="2" t="n">
        <v>45549</v>
      </c>
      <c r="B267" s="3" t="s">
        <v>305</v>
      </c>
      <c r="C267" s="3" t="s">
        <v>135</v>
      </c>
      <c r="D267" s="3" t="s">
        <v>136</v>
      </c>
      <c r="E267" s="3" t="s">
        <v>137</v>
      </c>
      <c r="F267" s="3" t="s">
        <v>45</v>
      </c>
      <c r="G267" s="3" t="s">
        <v>39</v>
      </c>
      <c r="H267" s="3" t="s">
        <v>119</v>
      </c>
      <c r="I267" s="3" t="s">
        <v>120</v>
      </c>
      <c r="J267" s="3" t="s">
        <v>89</v>
      </c>
      <c r="K267" s="3" t="s">
        <v>121</v>
      </c>
      <c r="L267" s="3" t="s">
        <v>50</v>
      </c>
      <c r="M267" s="3" t="s">
        <v>45</v>
      </c>
      <c r="N267" s="4" t="n">
        <v>24</v>
      </c>
      <c r="O267" s="5" t="n">
        <v>11.48</v>
      </c>
      <c r="P267" s="6" t="n">
        <v>0.05</v>
      </c>
      <c r="Q267" s="5" t="n">
        <f aca="false">N267*O267*(1-P267)</f>
        <v>261.744</v>
      </c>
      <c r="R267" s="5" t="n">
        <v>165.44</v>
      </c>
      <c r="S267" s="6" t="n">
        <f aca="false">IFERROR((Q267-R267)/Q267,0)</f>
        <v>0.367932025184913</v>
      </c>
    </row>
    <row r="268" customFormat="false" ht="15" hidden="false" customHeight="false" outlineLevel="0" collapsed="false">
      <c r="A268" s="2" t="n">
        <v>45549</v>
      </c>
      <c r="B268" s="3" t="s">
        <v>305</v>
      </c>
      <c r="C268" s="3" t="s">
        <v>135</v>
      </c>
      <c r="D268" s="3" t="s">
        <v>136</v>
      </c>
      <c r="E268" s="3" t="s">
        <v>137</v>
      </c>
      <c r="F268" s="3" t="s">
        <v>45</v>
      </c>
      <c r="G268" s="3" t="s">
        <v>39</v>
      </c>
      <c r="H268" s="3" t="s">
        <v>182</v>
      </c>
      <c r="I268" s="3" t="s">
        <v>183</v>
      </c>
      <c r="J268" s="3" t="s">
        <v>67</v>
      </c>
      <c r="K268" s="3" t="s">
        <v>184</v>
      </c>
      <c r="L268" s="3" t="s">
        <v>50</v>
      </c>
      <c r="M268" s="3" t="s">
        <v>45</v>
      </c>
      <c r="N268" s="4" t="n">
        <v>6</v>
      </c>
      <c r="O268" s="5" t="n">
        <v>11.66</v>
      </c>
      <c r="P268" s="6" t="n">
        <v>0</v>
      </c>
      <c r="Q268" s="5" t="n">
        <f aca="false">N268*O268*(1-P268)</f>
        <v>69.96</v>
      </c>
      <c r="R268" s="5" t="n">
        <v>47.08</v>
      </c>
      <c r="S268" s="6" t="n">
        <f aca="false">IFERROR((Q268-R268)/Q268,0)</f>
        <v>0.327044025157233</v>
      </c>
    </row>
    <row r="269" customFormat="false" ht="15" hidden="false" customHeight="false" outlineLevel="0" collapsed="false">
      <c r="A269" s="2" t="n">
        <v>45551</v>
      </c>
      <c r="B269" s="3" t="s">
        <v>306</v>
      </c>
      <c r="C269" s="3" t="s">
        <v>161</v>
      </c>
      <c r="D269" s="3" t="s">
        <v>162</v>
      </c>
      <c r="E269" s="3" t="s">
        <v>163</v>
      </c>
      <c r="F269" s="3" t="s">
        <v>38</v>
      </c>
      <c r="G269" s="3" t="s">
        <v>24</v>
      </c>
      <c r="H269" s="3" t="s">
        <v>145</v>
      </c>
      <c r="I269" s="3" t="s">
        <v>146</v>
      </c>
      <c r="J269" s="3" t="s">
        <v>32</v>
      </c>
      <c r="K269" s="3" t="s">
        <v>33</v>
      </c>
      <c r="L269" s="3" t="s">
        <v>40</v>
      </c>
      <c r="M269" s="3" t="s">
        <v>38</v>
      </c>
      <c r="N269" s="4" t="n">
        <v>6</v>
      </c>
      <c r="O269" s="5" t="n">
        <v>18.75</v>
      </c>
      <c r="P269" s="6" t="n">
        <v>0</v>
      </c>
      <c r="Q269" s="5" t="n">
        <f aca="false">N269*O269*(1-P269)</f>
        <v>112.5</v>
      </c>
      <c r="R269" s="5" t="n">
        <v>68.51</v>
      </c>
      <c r="S269" s="6" t="n">
        <f aca="false">IFERROR((Q269-R269)/Q269,0)</f>
        <v>0.391022222222222</v>
      </c>
    </row>
    <row r="270" customFormat="false" ht="15" hidden="false" customHeight="false" outlineLevel="0" collapsed="false">
      <c r="A270" s="2" t="n">
        <v>45551</v>
      </c>
      <c r="B270" s="3" t="s">
        <v>306</v>
      </c>
      <c r="C270" s="3" t="s">
        <v>161</v>
      </c>
      <c r="D270" s="3" t="s">
        <v>162</v>
      </c>
      <c r="E270" s="3" t="s">
        <v>163</v>
      </c>
      <c r="F270" s="3" t="s">
        <v>38</v>
      </c>
      <c r="G270" s="3" t="s">
        <v>24</v>
      </c>
      <c r="H270" s="3" t="s">
        <v>119</v>
      </c>
      <c r="I270" s="3" t="s">
        <v>120</v>
      </c>
      <c r="J270" s="3" t="s">
        <v>89</v>
      </c>
      <c r="K270" s="3" t="s">
        <v>121</v>
      </c>
      <c r="L270" s="3" t="s">
        <v>40</v>
      </c>
      <c r="M270" s="3" t="s">
        <v>38</v>
      </c>
      <c r="N270" s="4" t="n">
        <v>24</v>
      </c>
      <c r="O270" s="5" t="n">
        <v>12.02</v>
      </c>
      <c r="P270" s="6" t="n">
        <v>0.1</v>
      </c>
      <c r="Q270" s="5" t="n">
        <f aca="false">N270*O270*(1-P270)</f>
        <v>259.632</v>
      </c>
      <c r="R270" s="5" t="n">
        <v>160.61</v>
      </c>
      <c r="S270" s="6" t="n">
        <f aca="false">IFERROR((Q270-R270)/Q270,0)</f>
        <v>0.381393664879522</v>
      </c>
    </row>
    <row r="271" customFormat="false" ht="15" hidden="false" customHeight="false" outlineLevel="0" collapsed="false">
      <c r="A271" s="2" t="n">
        <v>45551</v>
      </c>
      <c r="B271" s="3" t="s">
        <v>306</v>
      </c>
      <c r="C271" s="3" t="s">
        <v>161</v>
      </c>
      <c r="D271" s="3" t="s">
        <v>162</v>
      </c>
      <c r="E271" s="3" t="s">
        <v>163</v>
      </c>
      <c r="F271" s="3" t="s">
        <v>38</v>
      </c>
      <c r="G271" s="3" t="s">
        <v>24</v>
      </c>
      <c r="H271" s="3" t="s">
        <v>87</v>
      </c>
      <c r="I271" s="3" t="s">
        <v>88</v>
      </c>
      <c r="J271" s="3" t="s">
        <v>89</v>
      </c>
      <c r="K271" s="3" t="s">
        <v>90</v>
      </c>
      <c r="L271" s="3" t="s">
        <v>40</v>
      </c>
      <c r="M271" s="3" t="s">
        <v>38</v>
      </c>
      <c r="N271" s="4" t="n">
        <v>72</v>
      </c>
      <c r="O271" s="5" t="n">
        <v>17.77</v>
      </c>
      <c r="P271" s="6" t="n">
        <v>0</v>
      </c>
      <c r="Q271" s="5" t="n">
        <f aca="false">N271*O271*(1-P271)</f>
        <v>1279.44</v>
      </c>
      <c r="R271" s="5" t="n">
        <v>727.33</v>
      </c>
      <c r="S271" s="6" t="n">
        <f aca="false">IFERROR((Q271-R271)/Q271,0)</f>
        <v>0.431524729569187</v>
      </c>
    </row>
    <row r="272" customFormat="false" ht="15" hidden="false" customHeight="false" outlineLevel="0" collapsed="false">
      <c r="A272" s="2" t="n">
        <v>45551</v>
      </c>
      <c r="B272" s="3" t="s">
        <v>306</v>
      </c>
      <c r="C272" s="3" t="s">
        <v>161</v>
      </c>
      <c r="D272" s="3" t="s">
        <v>162</v>
      </c>
      <c r="E272" s="3" t="s">
        <v>163</v>
      </c>
      <c r="F272" s="3" t="s">
        <v>38</v>
      </c>
      <c r="G272" s="3" t="s">
        <v>24</v>
      </c>
      <c r="H272" s="3" t="s">
        <v>189</v>
      </c>
      <c r="I272" s="3" t="s">
        <v>190</v>
      </c>
      <c r="J272" s="3" t="s">
        <v>27</v>
      </c>
      <c r="K272" s="3" t="s">
        <v>149</v>
      </c>
      <c r="L272" s="3" t="s">
        <v>40</v>
      </c>
      <c r="M272" s="3" t="s">
        <v>38</v>
      </c>
      <c r="N272" s="4" t="n">
        <v>48</v>
      </c>
      <c r="O272" s="5" t="n">
        <v>9.82</v>
      </c>
      <c r="P272" s="6" t="n">
        <v>0.1</v>
      </c>
      <c r="Q272" s="5" t="n">
        <f aca="false">N272*O272*(1-P272)</f>
        <v>424.224</v>
      </c>
      <c r="R272" s="5" t="n">
        <v>278.67</v>
      </c>
      <c r="S272" s="6" t="n">
        <f aca="false">IFERROR((Q272-R272)/Q272,0)</f>
        <v>0.343106472052501</v>
      </c>
    </row>
    <row r="273" customFormat="false" ht="15" hidden="false" customHeight="false" outlineLevel="0" collapsed="false">
      <c r="A273" s="2" t="n">
        <v>45553</v>
      </c>
      <c r="B273" s="3" t="s">
        <v>307</v>
      </c>
      <c r="C273" s="3" t="s">
        <v>77</v>
      </c>
      <c r="D273" s="3" t="s">
        <v>78</v>
      </c>
      <c r="E273" s="3" t="s">
        <v>79</v>
      </c>
      <c r="F273" s="3" t="s">
        <v>45</v>
      </c>
      <c r="G273" s="3" t="s">
        <v>80</v>
      </c>
      <c r="H273" s="3" t="s">
        <v>58</v>
      </c>
      <c r="I273" s="3" t="s">
        <v>59</v>
      </c>
      <c r="J273" s="3" t="s">
        <v>32</v>
      </c>
      <c r="K273" s="3" t="s">
        <v>60</v>
      </c>
      <c r="L273" s="3" t="s">
        <v>50</v>
      </c>
      <c r="M273" s="3" t="s">
        <v>45</v>
      </c>
      <c r="N273" s="4" t="n">
        <v>48</v>
      </c>
      <c r="O273" s="5" t="n">
        <v>5.57</v>
      </c>
      <c r="P273" s="6" t="n">
        <v>0.05</v>
      </c>
      <c r="Q273" s="5" t="n">
        <f aca="false">N273*O273*(1-P273)</f>
        <v>253.992</v>
      </c>
      <c r="R273" s="5" t="n">
        <v>159.95</v>
      </c>
      <c r="S273" s="6" t="n">
        <f aca="false">IFERROR((Q273-R273)/Q273,0)</f>
        <v>0.370255756086806</v>
      </c>
    </row>
    <row r="274" customFormat="false" ht="15" hidden="false" customHeight="false" outlineLevel="0" collapsed="false">
      <c r="A274" s="2" t="n">
        <v>45559</v>
      </c>
      <c r="B274" s="3" t="s">
        <v>308</v>
      </c>
      <c r="C274" s="3" t="s">
        <v>213</v>
      </c>
      <c r="D274" s="3" t="s">
        <v>214</v>
      </c>
      <c r="E274" s="3" t="s">
        <v>215</v>
      </c>
      <c r="F274" s="3" t="s">
        <v>180</v>
      </c>
      <c r="G274" s="3" t="s">
        <v>39</v>
      </c>
      <c r="H274" s="3" t="s">
        <v>171</v>
      </c>
      <c r="I274" s="3" t="s">
        <v>172</v>
      </c>
      <c r="J274" s="3" t="s">
        <v>27</v>
      </c>
      <c r="K274" s="3" t="s">
        <v>140</v>
      </c>
      <c r="L274" s="3" t="s">
        <v>181</v>
      </c>
      <c r="M274" s="3" t="s">
        <v>180</v>
      </c>
      <c r="N274" s="4" t="n">
        <v>12</v>
      </c>
      <c r="O274" s="5" t="n">
        <v>4.49</v>
      </c>
      <c r="P274" s="6" t="n">
        <v>0</v>
      </c>
      <c r="Q274" s="5" t="n">
        <f aca="false">N274*O274*(1-P274)</f>
        <v>53.88</v>
      </c>
      <c r="R274" s="5" t="n">
        <v>30.34</v>
      </c>
      <c r="S274" s="6" t="n">
        <f aca="false">IFERROR((Q274-R274)/Q274,0)</f>
        <v>0.436896807720861</v>
      </c>
    </row>
    <row r="275" customFormat="false" ht="15" hidden="false" customHeight="false" outlineLevel="0" collapsed="false">
      <c r="A275" s="2" t="n">
        <v>45559</v>
      </c>
      <c r="B275" s="3" t="s">
        <v>308</v>
      </c>
      <c r="C275" s="3" t="s">
        <v>213</v>
      </c>
      <c r="D275" s="3" t="s">
        <v>214</v>
      </c>
      <c r="E275" s="3" t="s">
        <v>215</v>
      </c>
      <c r="F275" s="3" t="s">
        <v>180</v>
      </c>
      <c r="G275" s="3" t="s">
        <v>39</v>
      </c>
      <c r="H275" s="3" t="s">
        <v>30</v>
      </c>
      <c r="I275" s="3" t="s">
        <v>31</v>
      </c>
      <c r="J275" s="3" t="s">
        <v>32</v>
      </c>
      <c r="K275" s="3" t="s">
        <v>33</v>
      </c>
      <c r="L275" s="3" t="s">
        <v>181</v>
      </c>
      <c r="M275" s="3" t="s">
        <v>180</v>
      </c>
      <c r="N275" s="4" t="n">
        <v>72</v>
      </c>
      <c r="O275" s="5" t="n">
        <v>25.98</v>
      </c>
      <c r="P275" s="6" t="n">
        <v>0</v>
      </c>
      <c r="Q275" s="5" t="n">
        <f aca="false">N275*O275*(1-P275)</f>
        <v>1870.56</v>
      </c>
      <c r="R275" s="5" t="n">
        <v>1074.95</v>
      </c>
      <c r="S275" s="6" t="n">
        <f aca="false">IFERROR((Q275-R275)/Q275,0)</f>
        <v>0.425332520742451</v>
      </c>
    </row>
    <row r="276" customFormat="false" ht="15" hidden="false" customHeight="false" outlineLevel="0" collapsed="false">
      <c r="A276" s="2" t="n">
        <v>45559</v>
      </c>
      <c r="B276" s="3" t="s">
        <v>308</v>
      </c>
      <c r="C276" s="3" t="s">
        <v>213</v>
      </c>
      <c r="D276" s="3" t="s">
        <v>214</v>
      </c>
      <c r="E276" s="3" t="s">
        <v>215</v>
      </c>
      <c r="F276" s="3" t="s">
        <v>180</v>
      </c>
      <c r="G276" s="3" t="s">
        <v>39</v>
      </c>
      <c r="H276" s="3" t="s">
        <v>182</v>
      </c>
      <c r="I276" s="3" t="s">
        <v>183</v>
      </c>
      <c r="J276" s="3" t="s">
        <v>67</v>
      </c>
      <c r="K276" s="3" t="s">
        <v>184</v>
      </c>
      <c r="L276" s="3" t="s">
        <v>181</v>
      </c>
      <c r="M276" s="3" t="s">
        <v>180</v>
      </c>
      <c r="N276" s="4" t="n">
        <v>120</v>
      </c>
      <c r="O276" s="5" t="n">
        <v>11.57</v>
      </c>
      <c r="P276" s="6" t="n">
        <v>0</v>
      </c>
      <c r="Q276" s="5" t="n">
        <f aca="false">N276*O276*(1-P276)</f>
        <v>1388.4</v>
      </c>
      <c r="R276" s="5" t="n">
        <v>932.37</v>
      </c>
      <c r="S276" s="6" t="n">
        <f aca="false">IFERROR((Q276-R276)/Q276,0)</f>
        <v>0.328457216940363</v>
      </c>
    </row>
    <row r="277" customFormat="false" ht="15" hidden="false" customHeight="false" outlineLevel="0" collapsed="false">
      <c r="A277" s="2" t="n">
        <v>45559</v>
      </c>
      <c r="B277" s="3" t="s">
        <v>308</v>
      </c>
      <c r="C277" s="3" t="s">
        <v>213</v>
      </c>
      <c r="D277" s="3" t="s">
        <v>214</v>
      </c>
      <c r="E277" s="3" t="s">
        <v>215</v>
      </c>
      <c r="F277" s="3" t="s">
        <v>180</v>
      </c>
      <c r="G277" s="3" t="s">
        <v>39</v>
      </c>
      <c r="H277" s="3" t="s">
        <v>119</v>
      </c>
      <c r="I277" s="3" t="s">
        <v>120</v>
      </c>
      <c r="J277" s="3" t="s">
        <v>89</v>
      </c>
      <c r="K277" s="3" t="s">
        <v>121</v>
      </c>
      <c r="L277" s="3" t="s">
        <v>181</v>
      </c>
      <c r="M277" s="3" t="s">
        <v>180</v>
      </c>
      <c r="N277" s="4" t="n">
        <v>96</v>
      </c>
      <c r="O277" s="5" t="n">
        <v>10.37</v>
      </c>
      <c r="P277" s="6" t="n">
        <v>0.05</v>
      </c>
      <c r="Q277" s="5" t="n">
        <f aca="false">N277*O277*(1-P277)</f>
        <v>945.744</v>
      </c>
      <c r="R277" s="5" t="n">
        <v>657.77</v>
      </c>
      <c r="S277" s="6" t="n">
        <f aca="false">IFERROR((Q277-R277)/Q277,0)</f>
        <v>0.304494662403357</v>
      </c>
    </row>
    <row r="278" customFormat="false" ht="15" hidden="false" customHeight="false" outlineLevel="0" collapsed="false">
      <c r="A278" s="2" t="n">
        <v>45560</v>
      </c>
      <c r="B278" s="3" t="s">
        <v>309</v>
      </c>
      <c r="C278" s="3" t="s">
        <v>92</v>
      </c>
      <c r="D278" s="3" t="s">
        <v>93</v>
      </c>
      <c r="E278" s="3" t="s">
        <v>94</v>
      </c>
      <c r="F278" s="3" t="s">
        <v>45</v>
      </c>
      <c r="G278" s="3" t="s">
        <v>95</v>
      </c>
      <c r="H278" s="3" t="s">
        <v>30</v>
      </c>
      <c r="I278" s="3" t="s">
        <v>31</v>
      </c>
      <c r="J278" s="3" t="s">
        <v>32</v>
      </c>
      <c r="K278" s="3" t="s">
        <v>33</v>
      </c>
      <c r="L278" s="3" t="s">
        <v>50</v>
      </c>
      <c r="M278" s="3" t="s">
        <v>45</v>
      </c>
      <c r="N278" s="4" t="n">
        <v>24</v>
      </c>
      <c r="O278" s="5" t="n">
        <v>23.88</v>
      </c>
      <c r="P278" s="6" t="n">
        <v>0.1</v>
      </c>
      <c r="Q278" s="5" t="n">
        <f aca="false">N278*O278*(1-P278)</f>
        <v>515.808</v>
      </c>
      <c r="R278" s="5" t="n">
        <v>357.97</v>
      </c>
      <c r="S278" s="6" t="n">
        <f aca="false">IFERROR((Q278-R278)/Q278,0)</f>
        <v>0.306001457906818</v>
      </c>
    </row>
    <row r="279" customFormat="false" ht="15" hidden="false" customHeight="false" outlineLevel="0" collapsed="false">
      <c r="A279" s="2" t="n">
        <v>45560</v>
      </c>
      <c r="B279" s="3" t="s">
        <v>309</v>
      </c>
      <c r="C279" s="3" t="s">
        <v>92</v>
      </c>
      <c r="D279" s="3" t="s">
        <v>93</v>
      </c>
      <c r="E279" s="3" t="s">
        <v>94</v>
      </c>
      <c r="F279" s="3" t="s">
        <v>45</v>
      </c>
      <c r="G279" s="3" t="s">
        <v>95</v>
      </c>
      <c r="H279" s="3" t="s">
        <v>81</v>
      </c>
      <c r="I279" s="3" t="s">
        <v>82</v>
      </c>
      <c r="J279" s="3" t="s">
        <v>32</v>
      </c>
      <c r="K279" s="3" t="s">
        <v>83</v>
      </c>
      <c r="L279" s="3" t="s">
        <v>50</v>
      </c>
      <c r="M279" s="3" t="s">
        <v>45</v>
      </c>
      <c r="N279" s="4" t="n">
        <v>96</v>
      </c>
      <c r="O279" s="5" t="n">
        <v>19.85</v>
      </c>
      <c r="P279" s="6" t="n">
        <v>0</v>
      </c>
      <c r="Q279" s="5" t="n">
        <f aca="false">N279*O279*(1-P279)</f>
        <v>1905.6</v>
      </c>
      <c r="R279" s="5" t="n">
        <v>1278.71</v>
      </c>
      <c r="S279" s="6" t="n">
        <f aca="false">IFERROR((Q279-R279)/Q279,0)</f>
        <v>0.328972502099076</v>
      </c>
    </row>
    <row r="280" customFormat="false" ht="15" hidden="false" customHeight="false" outlineLevel="0" collapsed="false">
      <c r="A280" s="2" t="n">
        <v>45560</v>
      </c>
      <c r="B280" s="3" t="s">
        <v>309</v>
      </c>
      <c r="C280" s="3" t="s">
        <v>92</v>
      </c>
      <c r="D280" s="3" t="s">
        <v>93</v>
      </c>
      <c r="E280" s="3" t="s">
        <v>94</v>
      </c>
      <c r="F280" s="3" t="s">
        <v>45</v>
      </c>
      <c r="G280" s="3" t="s">
        <v>95</v>
      </c>
      <c r="H280" s="3" t="s">
        <v>132</v>
      </c>
      <c r="I280" s="3" t="s">
        <v>133</v>
      </c>
      <c r="J280" s="3" t="s">
        <v>27</v>
      </c>
      <c r="K280" s="3" t="s">
        <v>28</v>
      </c>
      <c r="L280" s="3" t="s">
        <v>50</v>
      </c>
      <c r="M280" s="3" t="s">
        <v>45</v>
      </c>
      <c r="N280" s="4" t="n">
        <v>6</v>
      </c>
      <c r="O280" s="5" t="n">
        <v>13.69</v>
      </c>
      <c r="P280" s="6" t="n">
        <v>0</v>
      </c>
      <c r="Q280" s="5" t="n">
        <f aca="false">N280*O280*(1-P280)</f>
        <v>82.14</v>
      </c>
      <c r="R280" s="5" t="n">
        <v>48.46</v>
      </c>
      <c r="S280" s="6" t="n">
        <f aca="false">IFERROR((Q280-R280)/Q280,0)</f>
        <v>0.410031653274897</v>
      </c>
    </row>
    <row r="281" customFormat="false" ht="15" hidden="false" customHeight="false" outlineLevel="0" collapsed="false">
      <c r="A281" s="2" t="n">
        <v>45561</v>
      </c>
      <c r="B281" s="3" t="s">
        <v>310</v>
      </c>
      <c r="C281" s="3" t="s">
        <v>194</v>
      </c>
      <c r="D281" s="3" t="s">
        <v>195</v>
      </c>
      <c r="E281" s="3" t="s">
        <v>196</v>
      </c>
      <c r="F281" s="3" t="s">
        <v>38</v>
      </c>
      <c r="G281" s="3" t="s">
        <v>39</v>
      </c>
      <c r="H281" s="3" t="s">
        <v>58</v>
      </c>
      <c r="I281" s="3" t="s">
        <v>59</v>
      </c>
      <c r="J281" s="3" t="s">
        <v>32</v>
      </c>
      <c r="K281" s="3" t="s">
        <v>60</v>
      </c>
      <c r="L281" s="3" t="s">
        <v>40</v>
      </c>
      <c r="M281" s="3" t="s">
        <v>38</v>
      </c>
      <c r="N281" s="4" t="n">
        <v>120</v>
      </c>
      <c r="O281" s="5" t="n">
        <v>5.38</v>
      </c>
      <c r="P281" s="6" t="n">
        <v>0.05</v>
      </c>
      <c r="Q281" s="5" t="n">
        <f aca="false">N281*O281*(1-P281)</f>
        <v>613.32</v>
      </c>
      <c r="R281" s="5" t="n">
        <v>415.85</v>
      </c>
      <c r="S281" s="6" t="n">
        <f aca="false">IFERROR((Q281-R281)/Q281,0)</f>
        <v>0.321968955846866</v>
      </c>
    </row>
    <row r="282" customFormat="false" ht="15" hidden="false" customHeight="false" outlineLevel="0" collapsed="false">
      <c r="A282" s="2" t="n">
        <v>45561</v>
      </c>
      <c r="B282" s="3" t="s">
        <v>311</v>
      </c>
      <c r="C282" s="3" t="s">
        <v>209</v>
      </c>
      <c r="D282" s="3" t="s">
        <v>210</v>
      </c>
      <c r="E282" s="3" t="s">
        <v>211</v>
      </c>
      <c r="F282" s="3" t="s">
        <v>23</v>
      </c>
      <c r="G282" s="3" t="s">
        <v>95</v>
      </c>
      <c r="H282" s="3" t="s">
        <v>84</v>
      </c>
      <c r="I282" s="3" t="s">
        <v>85</v>
      </c>
      <c r="J282" s="3" t="s">
        <v>56</v>
      </c>
      <c r="K282" s="3" t="s">
        <v>86</v>
      </c>
      <c r="L282" s="3" t="s">
        <v>29</v>
      </c>
      <c r="M282" s="3" t="s">
        <v>23</v>
      </c>
      <c r="N282" s="4" t="n">
        <v>6</v>
      </c>
      <c r="O282" s="5" t="n">
        <v>5.61</v>
      </c>
      <c r="P282" s="6" t="n">
        <v>0.05</v>
      </c>
      <c r="Q282" s="5" t="n">
        <f aca="false">N282*O282*(1-P282)</f>
        <v>31.977</v>
      </c>
      <c r="R282" s="5" t="n">
        <v>18.58</v>
      </c>
      <c r="S282" s="6" t="n">
        <f aca="false">IFERROR((Q282-R282)/Q282,0)</f>
        <v>0.418957375613722</v>
      </c>
    </row>
    <row r="283" customFormat="false" ht="15" hidden="false" customHeight="false" outlineLevel="0" collapsed="false">
      <c r="A283" s="2" t="n">
        <v>45561</v>
      </c>
      <c r="B283" s="3" t="s">
        <v>311</v>
      </c>
      <c r="C283" s="3" t="s">
        <v>209</v>
      </c>
      <c r="D283" s="3" t="s">
        <v>210</v>
      </c>
      <c r="E283" s="3" t="s">
        <v>211</v>
      </c>
      <c r="F283" s="3" t="s">
        <v>23</v>
      </c>
      <c r="G283" s="3" t="s">
        <v>95</v>
      </c>
      <c r="H283" s="3" t="s">
        <v>189</v>
      </c>
      <c r="I283" s="3" t="s">
        <v>190</v>
      </c>
      <c r="J283" s="3" t="s">
        <v>27</v>
      </c>
      <c r="K283" s="3" t="s">
        <v>149</v>
      </c>
      <c r="L283" s="3" t="s">
        <v>29</v>
      </c>
      <c r="M283" s="3" t="s">
        <v>23</v>
      </c>
      <c r="N283" s="4" t="n">
        <v>72</v>
      </c>
      <c r="O283" s="5" t="n">
        <v>10.13</v>
      </c>
      <c r="P283" s="6" t="n">
        <v>0.15</v>
      </c>
      <c r="Q283" s="5" t="n">
        <f aca="false">N283*O283*(1-P283)</f>
        <v>619.956</v>
      </c>
      <c r="R283" s="5" t="n">
        <v>414.62</v>
      </c>
      <c r="S283" s="6" t="n">
        <f aca="false">IFERROR((Q283-R283)/Q283,0)</f>
        <v>0.331210602042726</v>
      </c>
    </row>
    <row r="284" customFormat="false" ht="15" hidden="false" customHeight="false" outlineLevel="0" collapsed="false">
      <c r="A284" s="2" t="n">
        <v>45564</v>
      </c>
      <c r="B284" s="3" t="s">
        <v>312</v>
      </c>
      <c r="C284" s="3" t="s">
        <v>62</v>
      </c>
      <c r="D284" s="3" t="s">
        <v>63</v>
      </c>
      <c r="E284" s="3" t="s">
        <v>64</v>
      </c>
      <c r="F284" s="3" t="s">
        <v>38</v>
      </c>
      <c r="G284" s="3" t="s">
        <v>39</v>
      </c>
      <c r="H284" s="3" t="s">
        <v>141</v>
      </c>
      <c r="I284" s="3" t="s">
        <v>142</v>
      </c>
      <c r="J284" s="3" t="s">
        <v>89</v>
      </c>
      <c r="K284" s="3" t="s">
        <v>100</v>
      </c>
      <c r="L284" s="3" t="s">
        <v>40</v>
      </c>
      <c r="M284" s="3" t="s">
        <v>38</v>
      </c>
      <c r="N284" s="4" t="n">
        <v>72</v>
      </c>
      <c r="O284" s="5" t="n">
        <v>18.44</v>
      </c>
      <c r="P284" s="6" t="n">
        <v>0</v>
      </c>
      <c r="Q284" s="5" t="n">
        <f aca="false">N284*O284*(1-P284)</f>
        <v>1327.68</v>
      </c>
      <c r="R284" s="5" t="n">
        <v>876.16</v>
      </c>
      <c r="S284" s="6" t="n">
        <f aca="false">IFERROR((Q284-R284)/Q284,0)</f>
        <v>0.340081947457219</v>
      </c>
    </row>
    <row r="285" customFormat="false" ht="15" hidden="false" customHeight="false" outlineLevel="0" collapsed="false">
      <c r="A285" s="2" t="n">
        <v>45564</v>
      </c>
      <c r="B285" s="3" t="s">
        <v>312</v>
      </c>
      <c r="C285" s="3" t="s">
        <v>62</v>
      </c>
      <c r="D285" s="3" t="s">
        <v>63</v>
      </c>
      <c r="E285" s="3" t="s">
        <v>64</v>
      </c>
      <c r="F285" s="3" t="s">
        <v>38</v>
      </c>
      <c r="G285" s="3" t="s">
        <v>39</v>
      </c>
      <c r="H285" s="3" t="s">
        <v>87</v>
      </c>
      <c r="I285" s="3" t="s">
        <v>88</v>
      </c>
      <c r="J285" s="3" t="s">
        <v>89</v>
      </c>
      <c r="K285" s="3" t="s">
        <v>90</v>
      </c>
      <c r="L285" s="3" t="s">
        <v>40</v>
      </c>
      <c r="M285" s="3" t="s">
        <v>38</v>
      </c>
      <c r="N285" s="4" t="n">
        <v>12</v>
      </c>
      <c r="O285" s="5" t="n">
        <v>17.46</v>
      </c>
      <c r="P285" s="6" t="n">
        <v>0.05</v>
      </c>
      <c r="Q285" s="5" t="n">
        <f aca="false">N285*O285*(1-P285)</f>
        <v>199.044</v>
      </c>
      <c r="R285" s="5" t="n">
        <v>121.56</v>
      </c>
      <c r="S285" s="6" t="n">
        <f aca="false">IFERROR((Q285-R285)/Q285,0)</f>
        <v>0.389280762042563</v>
      </c>
    </row>
    <row r="286" customFormat="false" ht="15" hidden="false" customHeight="false" outlineLevel="0" collapsed="false">
      <c r="A286" s="2" t="n">
        <v>45564</v>
      </c>
      <c r="B286" s="3" t="s">
        <v>313</v>
      </c>
      <c r="C286" s="3" t="s">
        <v>62</v>
      </c>
      <c r="D286" s="3" t="s">
        <v>63</v>
      </c>
      <c r="E286" s="3" t="s">
        <v>64</v>
      </c>
      <c r="F286" s="3" t="s">
        <v>38</v>
      </c>
      <c r="G286" s="3" t="s">
        <v>39</v>
      </c>
      <c r="H286" s="3" t="s">
        <v>87</v>
      </c>
      <c r="I286" s="3" t="s">
        <v>88</v>
      </c>
      <c r="J286" s="3" t="s">
        <v>89</v>
      </c>
      <c r="K286" s="3" t="s">
        <v>90</v>
      </c>
      <c r="L286" s="3" t="s">
        <v>40</v>
      </c>
      <c r="M286" s="3" t="s">
        <v>38</v>
      </c>
      <c r="N286" s="4" t="n">
        <v>60</v>
      </c>
      <c r="O286" s="5" t="n">
        <v>16.79</v>
      </c>
      <c r="P286" s="6" t="n">
        <v>0</v>
      </c>
      <c r="Q286" s="5" t="n">
        <f aca="false">N286*O286*(1-P286)</f>
        <v>1007.4</v>
      </c>
      <c r="R286" s="5" t="n">
        <v>617.09</v>
      </c>
      <c r="S286" s="6" t="n">
        <f aca="false">IFERROR((Q286-R286)/Q286,0)</f>
        <v>0.387442922374429</v>
      </c>
    </row>
    <row r="287" customFormat="false" ht="15" hidden="false" customHeight="false" outlineLevel="0" collapsed="false">
      <c r="A287" s="2" t="n">
        <v>45564</v>
      </c>
      <c r="B287" s="3" t="s">
        <v>313</v>
      </c>
      <c r="C287" s="3" t="s">
        <v>62</v>
      </c>
      <c r="D287" s="3" t="s">
        <v>63</v>
      </c>
      <c r="E287" s="3" t="s">
        <v>64</v>
      </c>
      <c r="F287" s="3" t="s">
        <v>38</v>
      </c>
      <c r="G287" s="3" t="s">
        <v>39</v>
      </c>
      <c r="H287" s="3" t="s">
        <v>108</v>
      </c>
      <c r="I287" s="3" t="s">
        <v>109</v>
      </c>
      <c r="J287" s="3" t="s">
        <v>48</v>
      </c>
      <c r="K287" s="3" t="s">
        <v>110</v>
      </c>
      <c r="L287" s="3" t="s">
        <v>40</v>
      </c>
      <c r="M287" s="3" t="s">
        <v>38</v>
      </c>
      <c r="N287" s="4" t="n">
        <v>60</v>
      </c>
      <c r="O287" s="5" t="n">
        <v>6.88</v>
      </c>
      <c r="P287" s="6" t="n">
        <v>0</v>
      </c>
      <c r="Q287" s="5" t="n">
        <f aca="false">N287*O287*(1-P287)</f>
        <v>412.8</v>
      </c>
      <c r="R287" s="5" t="n">
        <v>260.8</v>
      </c>
      <c r="S287" s="6" t="n">
        <f aca="false">IFERROR((Q287-R287)/Q287,0)</f>
        <v>0.368217054263566</v>
      </c>
    </row>
    <row r="288" customFormat="false" ht="15" hidden="false" customHeight="false" outlineLevel="0" collapsed="false">
      <c r="A288" s="2" t="n">
        <v>45564</v>
      </c>
      <c r="B288" s="3" t="s">
        <v>313</v>
      </c>
      <c r="C288" s="3" t="s">
        <v>62</v>
      </c>
      <c r="D288" s="3" t="s">
        <v>63</v>
      </c>
      <c r="E288" s="3" t="s">
        <v>64</v>
      </c>
      <c r="F288" s="3" t="s">
        <v>38</v>
      </c>
      <c r="G288" s="3" t="s">
        <v>39</v>
      </c>
      <c r="H288" s="3" t="s">
        <v>132</v>
      </c>
      <c r="I288" s="3" t="s">
        <v>133</v>
      </c>
      <c r="J288" s="3" t="s">
        <v>27</v>
      </c>
      <c r="K288" s="3" t="s">
        <v>28</v>
      </c>
      <c r="L288" s="3" t="s">
        <v>40</v>
      </c>
      <c r="M288" s="3" t="s">
        <v>38</v>
      </c>
      <c r="N288" s="4" t="n">
        <v>120</v>
      </c>
      <c r="O288" s="5" t="n">
        <v>13.1</v>
      </c>
      <c r="P288" s="6" t="n">
        <v>0.05</v>
      </c>
      <c r="Q288" s="5" t="n">
        <f aca="false">N288*O288*(1-P288)</f>
        <v>1493.4</v>
      </c>
      <c r="R288" s="5" t="n">
        <v>986.38</v>
      </c>
      <c r="S288" s="6" t="n">
        <f aca="false">IFERROR((Q288-R288)/Q288,0)</f>
        <v>0.339507164858712</v>
      </c>
    </row>
    <row r="289" customFormat="false" ht="15" hidden="false" customHeight="false" outlineLevel="0" collapsed="false">
      <c r="A289" s="2" t="n">
        <v>45565</v>
      </c>
      <c r="B289" s="3" t="s">
        <v>314</v>
      </c>
      <c r="C289" s="3" t="s">
        <v>234</v>
      </c>
      <c r="D289" s="3" t="s">
        <v>235</v>
      </c>
      <c r="E289" s="3" t="s">
        <v>236</v>
      </c>
      <c r="F289" s="3" t="s">
        <v>23</v>
      </c>
      <c r="G289" s="3" t="s">
        <v>24</v>
      </c>
      <c r="H289" s="3" t="s">
        <v>65</v>
      </c>
      <c r="I289" s="3" t="s">
        <v>66</v>
      </c>
      <c r="J289" s="3" t="s">
        <v>67</v>
      </c>
      <c r="K289" s="3" t="s">
        <v>68</v>
      </c>
      <c r="L289" s="3" t="s">
        <v>29</v>
      </c>
      <c r="M289" s="3" t="s">
        <v>23</v>
      </c>
      <c r="N289" s="4" t="n">
        <v>6</v>
      </c>
      <c r="O289" s="5" t="n">
        <v>28.74</v>
      </c>
      <c r="P289" s="6" t="n">
        <v>0</v>
      </c>
      <c r="Q289" s="5" t="n">
        <f aca="false">N289*O289*(1-P289)</f>
        <v>172.44</v>
      </c>
      <c r="R289" s="5" t="n">
        <v>103.77</v>
      </c>
      <c r="S289" s="6" t="n">
        <f aca="false">IFERROR((Q289-R289)/Q289,0)</f>
        <v>0.398225469728601</v>
      </c>
    </row>
    <row r="290" customFormat="false" ht="15" hidden="false" customHeight="false" outlineLevel="0" collapsed="false">
      <c r="A290" s="2" t="n">
        <v>45565</v>
      </c>
      <c r="B290" s="3" t="s">
        <v>314</v>
      </c>
      <c r="C290" s="3" t="s">
        <v>234</v>
      </c>
      <c r="D290" s="3" t="s">
        <v>235</v>
      </c>
      <c r="E290" s="3" t="s">
        <v>236</v>
      </c>
      <c r="F290" s="3" t="s">
        <v>23</v>
      </c>
      <c r="G290" s="3" t="s">
        <v>24</v>
      </c>
      <c r="H290" s="3" t="s">
        <v>158</v>
      </c>
      <c r="I290" s="3" t="s">
        <v>159</v>
      </c>
      <c r="J290" s="3" t="s">
        <v>27</v>
      </c>
      <c r="K290" s="3" t="s">
        <v>149</v>
      </c>
      <c r="L290" s="3" t="s">
        <v>29</v>
      </c>
      <c r="M290" s="3" t="s">
        <v>23</v>
      </c>
      <c r="N290" s="4" t="n">
        <v>12</v>
      </c>
      <c r="O290" s="5" t="n">
        <v>7.63</v>
      </c>
      <c r="P290" s="6" t="n">
        <v>0</v>
      </c>
      <c r="Q290" s="5" t="n">
        <f aca="false">N290*O290*(1-P290)</f>
        <v>91.56</v>
      </c>
      <c r="R290" s="5" t="n">
        <v>53.93</v>
      </c>
      <c r="S290" s="6" t="n">
        <f aca="false">IFERROR((Q290-R290)/Q290,0)</f>
        <v>0.410987330712101</v>
      </c>
    </row>
    <row r="291" customFormat="false" ht="15" hidden="false" customHeight="false" outlineLevel="0" collapsed="false">
      <c r="A291" s="2" t="n">
        <v>45566</v>
      </c>
      <c r="B291" s="3" t="s">
        <v>315</v>
      </c>
      <c r="C291" s="3" t="s">
        <v>228</v>
      </c>
      <c r="D291" s="3" t="s">
        <v>124</v>
      </c>
      <c r="E291" s="3" t="s">
        <v>229</v>
      </c>
      <c r="F291" s="3" t="s">
        <v>45</v>
      </c>
      <c r="G291" s="3" t="s">
        <v>39</v>
      </c>
      <c r="H291" s="3" t="s">
        <v>98</v>
      </c>
      <c r="I291" s="3" t="s">
        <v>99</v>
      </c>
      <c r="J291" s="3" t="s">
        <v>89</v>
      </c>
      <c r="K291" s="3" t="s">
        <v>100</v>
      </c>
      <c r="L291" s="3" t="s">
        <v>50</v>
      </c>
      <c r="M291" s="3" t="s">
        <v>45</v>
      </c>
      <c r="N291" s="4" t="n">
        <v>96</v>
      </c>
      <c r="O291" s="5" t="n">
        <v>21.26</v>
      </c>
      <c r="P291" s="6" t="n">
        <v>0</v>
      </c>
      <c r="Q291" s="5" t="n">
        <f aca="false">N291*O291*(1-P291)</f>
        <v>2040.96</v>
      </c>
      <c r="R291" s="5" t="n">
        <v>1361.71</v>
      </c>
      <c r="S291" s="6" t="n">
        <f aca="false">IFERROR((Q291-R291)/Q291,0)</f>
        <v>0.332809070241455</v>
      </c>
    </row>
    <row r="292" customFormat="false" ht="15" hidden="false" customHeight="false" outlineLevel="0" collapsed="false">
      <c r="A292" s="2" t="n">
        <v>45568</v>
      </c>
      <c r="B292" s="3" t="s">
        <v>316</v>
      </c>
      <c r="C292" s="3" t="s">
        <v>283</v>
      </c>
      <c r="D292" s="3" t="s">
        <v>284</v>
      </c>
      <c r="E292" s="3" t="s">
        <v>285</v>
      </c>
      <c r="F292" s="3" t="s">
        <v>45</v>
      </c>
      <c r="G292" s="3" t="s">
        <v>39</v>
      </c>
      <c r="H292" s="3" t="s">
        <v>141</v>
      </c>
      <c r="I292" s="3" t="s">
        <v>142</v>
      </c>
      <c r="J292" s="3" t="s">
        <v>89</v>
      </c>
      <c r="K292" s="3" t="s">
        <v>100</v>
      </c>
      <c r="L292" s="3" t="s">
        <v>50</v>
      </c>
      <c r="M292" s="3" t="s">
        <v>45</v>
      </c>
      <c r="N292" s="4" t="n">
        <v>24</v>
      </c>
      <c r="O292" s="5" t="n">
        <v>19.03</v>
      </c>
      <c r="P292" s="6" t="n">
        <v>0.1</v>
      </c>
      <c r="Q292" s="5" t="n">
        <f aca="false">N292*O292*(1-P292)</f>
        <v>411.048</v>
      </c>
      <c r="R292" s="5" t="n">
        <v>298.27</v>
      </c>
      <c r="S292" s="6" t="n">
        <f aca="false">IFERROR((Q292-R292)/Q292,0)</f>
        <v>0.274366983904556</v>
      </c>
    </row>
    <row r="293" customFormat="false" ht="15" hidden="false" customHeight="false" outlineLevel="0" collapsed="false">
      <c r="A293" s="2" t="n">
        <v>45568</v>
      </c>
      <c r="B293" s="3" t="s">
        <v>316</v>
      </c>
      <c r="C293" s="3" t="s">
        <v>283</v>
      </c>
      <c r="D293" s="3" t="s">
        <v>284</v>
      </c>
      <c r="E293" s="3" t="s">
        <v>285</v>
      </c>
      <c r="F293" s="3" t="s">
        <v>45</v>
      </c>
      <c r="G293" s="3" t="s">
        <v>39</v>
      </c>
      <c r="H293" s="3" t="s">
        <v>98</v>
      </c>
      <c r="I293" s="3" t="s">
        <v>99</v>
      </c>
      <c r="J293" s="3" t="s">
        <v>89</v>
      </c>
      <c r="K293" s="3" t="s">
        <v>100</v>
      </c>
      <c r="L293" s="3" t="s">
        <v>50</v>
      </c>
      <c r="M293" s="3" t="s">
        <v>45</v>
      </c>
      <c r="N293" s="4" t="n">
        <v>72</v>
      </c>
      <c r="O293" s="5" t="n">
        <v>23.91</v>
      </c>
      <c r="P293" s="6" t="n">
        <v>0.1</v>
      </c>
      <c r="Q293" s="5" t="n">
        <f aca="false">N293*O293*(1-P293)</f>
        <v>1549.368</v>
      </c>
      <c r="R293" s="5" t="n">
        <v>1026.66</v>
      </c>
      <c r="S293" s="6" t="n">
        <f aca="false">IFERROR((Q293-R293)/Q293,0)</f>
        <v>0.337368527038121</v>
      </c>
    </row>
    <row r="294" customFormat="false" ht="15" hidden="false" customHeight="false" outlineLevel="0" collapsed="false">
      <c r="A294" s="2" t="n">
        <v>45568</v>
      </c>
      <c r="B294" s="3" t="s">
        <v>316</v>
      </c>
      <c r="C294" s="3" t="s">
        <v>283</v>
      </c>
      <c r="D294" s="3" t="s">
        <v>284</v>
      </c>
      <c r="E294" s="3" t="s">
        <v>285</v>
      </c>
      <c r="F294" s="3" t="s">
        <v>45</v>
      </c>
      <c r="G294" s="3" t="s">
        <v>39</v>
      </c>
      <c r="H294" s="3" t="s">
        <v>65</v>
      </c>
      <c r="I294" s="3" t="s">
        <v>66</v>
      </c>
      <c r="J294" s="3" t="s">
        <v>67</v>
      </c>
      <c r="K294" s="3" t="s">
        <v>68</v>
      </c>
      <c r="L294" s="3" t="s">
        <v>50</v>
      </c>
      <c r="M294" s="3" t="s">
        <v>45</v>
      </c>
      <c r="N294" s="4" t="n">
        <v>48</v>
      </c>
      <c r="O294" s="5" t="n">
        <v>30.14</v>
      </c>
      <c r="P294" s="6" t="n">
        <v>0.05</v>
      </c>
      <c r="Q294" s="5" t="n">
        <f aca="false">N294*O294*(1-P294)</f>
        <v>1374.384</v>
      </c>
      <c r="R294" s="5" t="n">
        <v>841.03</v>
      </c>
      <c r="S294" s="6" t="n">
        <f aca="false">IFERROR((Q294-R294)/Q294,0)</f>
        <v>0.388067672499098</v>
      </c>
    </row>
    <row r="295" customFormat="false" ht="15" hidden="false" customHeight="false" outlineLevel="0" collapsed="false">
      <c r="A295" s="2" t="n">
        <v>45568</v>
      </c>
      <c r="B295" s="3" t="s">
        <v>317</v>
      </c>
      <c r="C295" s="3" t="s">
        <v>92</v>
      </c>
      <c r="D295" s="3" t="s">
        <v>93</v>
      </c>
      <c r="E295" s="3" t="s">
        <v>94</v>
      </c>
      <c r="F295" s="3" t="s">
        <v>45</v>
      </c>
      <c r="G295" s="3" t="s">
        <v>95</v>
      </c>
      <c r="H295" s="3" t="s">
        <v>119</v>
      </c>
      <c r="I295" s="3" t="s">
        <v>120</v>
      </c>
      <c r="J295" s="3" t="s">
        <v>89</v>
      </c>
      <c r="K295" s="3" t="s">
        <v>121</v>
      </c>
      <c r="L295" s="3" t="s">
        <v>50</v>
      </c>
      <c r="M295" s="3" t="s">
        <v>45</v>
      </c>
      <c r="N295" s="4" t="n">
        <v>96</v>
      </c>
      <c r="O295" s="5" t="n">
        <v>11.48</v>
      </c>
      <c r="P295" s="6" t="n">
        <v>0.1</v>
      </c>
      <c r="Q295" s="5" t="n">
        <f aca="false">N295*O295*(1-P295)</f>
        <v>991.872</v>
      </c>
      <c r="R295" s="5" t="n">
        <v>655.82</v>
      </c>
      <c r="S295" s="6" t="n">
        <f aca="false">IFERROR((Q295-R295)/Q295,0)</f>
        <v>0.338805813653375</v>
      </c>
    </row>
    <row r="296" customFormat="false" ht="15" hidden="false" customHeight="false" outlineLevel="0" collapsed="false">
      <c r="A296" s="2" t="n">
        <v>45568</v>
      </c>
      <c r="B296" s="3" t="s">
        <v>317</v>
      </c>
      <c r="C296" s="3" t="s">
        <v>92</v>
      </c>
      <c r="D296" s="3" t="s">
        <v>93</v>
      </c>
      <c r="E296" s="3" t="s">
        <v>94</v>
      </c>
      <c r="F296" s="3" t="s">
        <v>45</v>
      </c>
      <c r="G296" s="3" t="s">
        <v>95</v>
      </c>
      <c r="H296" s="3" t="s">
        <v>129</v>
      </c>
      <c r="I296" s="3" t="s">
        <v>130</v>
      </c>
      <c r="J296" s="3" t="s">
        <v>67</v>
      </c>
      <c r="K296" s="3" t="s">
        <v>131</v>
      </c>
      <c r="L296" s="3" t="s">
        <v>50</v>
      </c>
      <c r="M296" s="3" t="s">
        <v>45</v>
      </c>
      <c r="N296" s="4" t="n">
        <v>60</v>
      </c>
      <c r="O296" s="5" t="n">
        <v>10.64</v>
      </c>
      <c r="P296" s="6" t="n">
        <v>0.05</v>
      </c>
      <c r="Q296" s="5" t="n">
        <f aca="false">N296*O296*(1-P296)</f>
        <v>606.48</v>
      </c>
      <c r="R296" s="5" t="n">
        <v>415.25</v>
      </c>
      <c r="S296" s="6" t="n">
        <f aca="false">IFERROR((Q296-R296)/Q296,0)</f>
        <v>0.315311304577233</v>
      </c>
    </row>
    <row r="297" customFormat="false" ht="15" hidden="false" customHeight="false" outlineLevel="0" collapsed="false">
      <c r="A297" s="2" t="n">
        <v>45568</v>
      </c>
      <c r="B297" s="3" t="s">
        <v>317</v>
      </c>
      <c r="C297" s="3" t="s">
        <v>92</v>
      </c>
      <c r="D297" s="3" t="s">
        <v>93</v>
      </c>
      <c r="E297" s="3" t="s">
        <v>94</v>
      </c>
      <c r="F297" s="3" t="s">
        <v>45</v>
      </c>
      <c r="G297" s="3" t="s">
        <v>95</v>
      </c>
      <c r="H297" s="3" t="s">
        <v>182</v>
      </c>
      <c r="I297" s="3" t="s">
        <v>183</v>
      </c>
      <c r="J297" s="3" t="s">
        <v>67</v>
      </c>
      <c r="K297" s="3" t="s">
        <v>184</v>
      </c>
      <c r="L297" s="3" t="s">
        <v>50</v>
      </c>
      <c r="M297" s="3" t="s">
        <v>45</v>
      </c>
      <c r="N297" s="4" t="n">
        <v>48</v>
      </c>
      <c r="O297" s="5" t="n">
        <v>13.21</v>
      </c>
      <c r="P297" s="6" t="n">
        <v>0</v>
      </c>
      <c r="Q297" s="5" t="n">
        <f aca="false">N297*O297*(1-P297)</f>
        <v>634.08</v>
      </c>
      <c r="R297" s="5" t="n">
        <v>381.6</v>
      </c>
      <c r="S297" s="6" t="n">
        <f aca="false">IFERROR((Q297-R297)/Q297,0)</f>
        <v>0.398183194549584</v>
      </c>
    </row>
    <row r="298" customFormat="false" ht="15" hidden="false" customHeight="false" outlineLevel="0" collapsed="false">
      <c r="A298" s="2" t="n">
        <v>45568</v>
      </c>
      <c r="B298" s="3" t="s">
        <v>317</v>
      </c>
      <c r="C298" s="3" t="s">
        <v>92</v>
      </c>
      <c r="D298" s="3" t="s">
        <v>93</v>
      </c>
      <c r="E298" s="3" t="s">
        <v>94</v>
      </c>
      <c r="F298" s="3" t="s">
        <v>45</v>
      </c>
      <c r="G298" s="3" t="s">
        <v>95</v>
      </c>
      <c r="H298" s="3" t="s">
        <v>81</v>
      </c>
      <c r="I298" s="3" t="s">
        <v>82</v>
      </c>
      <c r="J298" s="3" t="s">
        <v>32</v>
      </c>
      <c r="K298" s="3" t="s">
        <v>83</v>
      </c>
      <c r="L298" s="3" t="s">
        <v>50</v>
      </c>
      <c r="M298" s="3" t="s">
        <v>45</v>
      </c>
      <c r="N298" s="4" t="n">
        <v>72</v>
      </c>
      <c r="O298" s="5" t="n">
        <v>19.99</v>
      </c>
      <c r="P298" s="6" t="n">
        <v>0</v>
      </c>
      <c r="Q298" s="5" t="n">
        <f aca="false">N298*O298*(1-P298)</f>
        <v>1439.28</v>
      </c>
      <c r="R298" s="5" t="n">
        <v>938.61</v>
      </c>
      <c r="S298" s="6" t="n">
        <f aca="false">IFERROR((Q298-R298)/Q298,0)</f>
        <v>0.347861430715358</v>
      </c>
    </row>
    <row r="299" customFormat="false" ht="15" hidden="false" customHeight="false" outlineLevel="0" collapsed="false">
      <c r="A299" s="2" t="n">
        <v>45569</v>
      </c>
      <c r="B299" s="3" t="s">
        <v>318</v>
      </c>
      <c r="C299" s="3" t="s">
        <v>123</v>
      </c>
      <c r="D299" s="3" t="s">
        <v>124</v>
      </c>
      <c r="E299" s="3" t="s">
        <v>125</v>
      </c>
      <c r="F299" s="3" t="s">
        <v>38</v>
      </c>
      <c r="G299" s="3" t="s">
        <v>39</v>
      </c>
      <c r="H299" s="3" t="s">
        <v>30</v>
      </c>
      <c r="I299" s="3" t="s">
        <v>31</v>
      </c>
      <c r="J299" s="3" t="s">
        <v>32</v>
      </c>
      <c r="K299" s="3" t="s">
        <v>33</v>
      </c>
      <c r="L299" s="3" t="s">
        <v>40</v>
      </c>
      <c r="M299" s="3" t="s">
        <v>38</v>
      </c>
      <c r="N299" s="4" t="n">
        <v>72</v>
      </c>
      <c r="O299" s="5" t="n">
        <v>24.98</v>
      </c>
      <c r="P299" s="6" t="n">
        <v>0.1</v>
      </c>
      <c r="Q299" s="5" t="n">
        <f aca="false">N299*O299*(1-P299)</f>
        <v>1618.704</v>
      </c>
      <c r="R299" s="5" t="n">
        <v>1085.42</v>
      </c>
      <c r="S299" s="6" t="n">
        <f aca="false">IFERROR((Q299-R299)/Q299,0)</f>
        <v>0.329451215293222</v>
      </c>
    </row>
    <row r="300" customFormat="false" ht="15" hidden="false" customHeight="false" outlineLevel="0" collapsed="false">
      <c r="A300" s="2" t="n">
        <v>45569</v>
      </c>
      <c r="B300" s="3" t="s">
        <v>318</v>
      </c>
      <c r="C300" s="3" t="s">
        <v>123</v>
      </c>
      <c r="D300" s="3" t="s">
        <v>124</v>
      </c>
      <c r="E300" s="3" t="s">
        <v>125</v>
      </c>
      <c r="F300" s="3" t="s">
        <v>38</v>
      </c>
      <c r="G300" s="3" t="s">
        <v>39</v>
      </c>
      <c r="H300" s="3" t="s">
        <v>158</v>
      </c>
      <c r="I300" s="3" t="s">
        <v>159</v>
      </c>
      <c r="J300" s="3" t="s">
        <v>27</v>
      </c>
      <c r="K300" s="3" t="s">
        <v>149</v>
      </c>
      <c r="L300" s="3" t="s">
        <v>40</v>
      </c>
      <c r="M300" s="3" t="s">
        <v>38</v>
      </c>
      <c r="N300" s="4" t="n">
        <v>48</v>
      </c>
      <c r="O300" s="5" t="n">
        <v>6.93</v>
      </c>
      <c r="P300" s="6" t="n">
        <v>0</v>
      </c>
      <c r="Q300" s="5" t="n">
        <f aca="false">N300*O300*(1-P300)</f>
        <v>332.64</v>
      </c>
      <c r="R300" s="5" t="n">
        <v>219.7</v>
      </c>
      <c r="S300" s="6" t="n">
        <f aca="false">IFERROR((Q300-R300)/Q300,0)</f>
        <v>0.339526214526215</v>
      </c>
    </row>
    <row r="301" customFormat="false" ht="15" hidden="false" customHeight="false" outlineLevel="0" collapsed="false">
      <c r="A301" s="2" t="n">
        <v>45569</v>
      </c>
      <c r="B301" s="3" t="s">
        <v>318</v>
      </c>
      <c r="C301" s="3" t="s">
        <v>123</v>
      </c>
      <c r="D301" s="3" t="s">
        <v>124</v>
      </c>
      <c r="E301" s="3" t="s">
        <v>125</v>
      </c>
      <c r="F301" s="3" t="s">
        <v>38</v>
      </c>
      <c r="G301" s="3" t="s">
        <v>39</v>
      </c>
      <c r="H301" s="3" t="s">
        <v>112</v>
      </c>
      <c r="I301" s="3" t="s">
        <v>113</v>
      </c>
      <c r="J301" s="3" t="s">
        <v>67</v>
      </c>
      <c r="K301" s="3" t="s">
        <v>114</v>
      </c>
      <c r="L301" s="3" t="s">
        <v>40</v>
      </c>
      <c r="M301" s="3" t="s">
        <v>38</v>
      </c>
      <c r="N301" s="4" t="n">
        <v>120</v>
      </c>
      <c r="O301" s="5" t="n">
        <v>9.21</v>
      </c>
      <c r="P301" s="6" t="n">
        <v>0</v>
      </c>
      <c r="Q301" s="5" t="n">
        <f aca="false">N301*O301*(1-P301)</f>
        <v>1105.2</v>
      </c>
      <c r="R301" s="5" t="n">
        <v>713.94</v>
      </c>
      <c r="S301" s="6" t="n">
        <f aca="false">IFERROR((Q301-R301)/Q301,0)</f>
        <v>0.354017372421281</v>
      </c>
    </row>
    <row r="302" customFormat="false" ht="15" hidden="false" customHeight="false" outlineLevel="0" collapsed="false">
      <c r="A302" s="2" t="n">
        <v>45569</v>
      </c>
      <c r="B302" s="3" t="s">
        <v>318</v>
      </c>
      <c r="C302" s="3" t="s">
        <v>123</v>
      </c>
      <c r="D302" s="3" t="s">
        <v>124</v>
      </c>
      <c r="E302" s="3" t="s">
        <v>125</v>
      </c>
      <c r="F302" s="3" t="s">
        <v>38</v>
      </c>
      <c r="G302" s="3" t="s">
        <v>39</v>
      </c>
      <c r="H302" s="3" t="s">
        <v>141</v>
      </c>
      <c r="I302" s="3" t="s">
        <v>142</v>
      </c>
      <c r="J302" s="3" t="s">
        <v>89</v>
      </c>
      <c r="K302" s="3" t="s">
        <v>100</v>
      </c>
      <c r="L302" s="3" t="s">
        <v>40</v>
      </c>
      <c r="M302" s="3" t="s">
        <v>38</v>
      </c>
      <c r="N302" s="4" t="n">
        <v>6</v>
      </c>
      <c r="O302" s="5" t="n">
        <v>19.97</v>
      </c>
      <c r="P302" s="6" t="n">
        <v>0</v>
      </c>
      <c r="Q302" s="5" t="n">
        <f aca="false">N302*O302*(1-P302)</f>
        <v>119.82</v>
      </c>
      <c r="R302" s="5" t="n">
        <v>72.39</v>
      </c>
      <c r="S302" s="6" t="n">
        <f aca="false">IFERROR((Q302-R302)/Q302,0)</f>
        <v>0.395843765648473</v>
      </c>
    </row>
    <row r="303" customFormat="false" ht="15" hidden="false" customHeight="false" outlineLevel="0" collapsed="false">
      <c r="A303" s="2" t="n">
        <v>45572</v>
      </c>
      <c r="B303" s="3" t="s">
        <v>319</v>
      </c>
      <c r="C303" s="3" t="s">
        <v>194</v>
      </c>
      <c r="D303" s="3" t="s">
        <v>195</v>
      </c>
      <c r="E303" s="3" t="s">
        <v>196</v>
      </c>
      <c r="F303" s="3" t="s">
        <v>38</v>
      </c>
      <c r="G303" s="3" t="s">
        <v>39</v>
      </c>
      <c r="H303" s="3" t="s">
        <v>81</v>
      </c>
      <c r="I303" s="3" t="s">
        <v>82</v>
      </c>
      <c r="J303" s="3" t="s">
        <v>32</v>
      </c>
      <c r="K303" s="3" t="s">
        <v>83</v>
      </c>
      <c r="L303" s="3" t="s">
        <v>40</v>
      </c>
      <c r="M303" s="3" t="s">
        <v>38</v>
      </c>
      <c r="N303" s="4" t="n">
        <v>120</v>
      </c>
      <c r="O303" s="5" t="n">
        <v>21.33</v>
      </c>
      <c r="P303" s="6" t="n">
        <v>0</v>
      </c>
      <c r="Q303" s="5" t="n">
        <f aca="false">N303*O303*(1-P303)</f>
        <v>2559.6</v>
      </c>
      <c r="R303" s="5" t="n">
        <v>1605.53</v>
      </c>
      <c r="S303" s="6" t="n">
        <f aca="false">IFERROR((Q303-R303)/Q303,0)</f>
        <v>0.372741834661666</v>
      </c>
    </row>
    <row r="304" customFormat="false" ht="15" hidden="false" customHeight="false" outlineLevel="0" collapsed="false">
      <c r="A304" s="2" t="n">
        <v>45572</v>
      </c>
      <c r="B304" s="3" t="s">
        <v>319</v>
      </c>
      <c r="C304" s="3" t="s">
        <v>194</v>
      </c>
      <c r="D304" s="3" t="s">
        <v>195</v>
      </c>
      <c r="E304" s="3" t="s">
        <v>196</v>
      </c>
      <c r="F304" s="3" t="s">
        <v>38</v>
      </c>
      <c r="G304" s="3" t="s">
        <v>39</v>
      </c>
      <c r="H304" s="3" t="s">
        <v>222</v>
      </c>
      <c r="I304" s="3" t="s">
        <v>223</v>
      </c>
      <c r="J304" s="3" t="s">
        <v>67</v>
      </c>
      <c r="K304" s="3" t="s">
        <v>184</v>
      </c>
      <c r="L304" s="3" t="s">
        <v>40</v>
      </c>
      <c r="M304" s="3" t="s">
        <v>38</v>
      </c>
      <c r="N304" s="4" t="n">
        <v>120</v>
      </c>
      <c r="O304" s="5" t="n">
        <v>19.28</v>
      </c>
      <c r="P304" s="6" t="n">
        <v>0</v>
      </c>
      <c r="Q304" s="5" t="n">
        <f aca="false">N304*O304*(1-P304)</f>
        <v>2313.6</v>
      </c>
      <c r="R304" s="5" t="n">
        <v>1376.68</v>
      </c>
      <c r="S304" s="6" t="n">
        <f aca="false">IFERROR((Q304-R304)/Q304,0)</f>
        <v>0.404961964038728</v>
      </c>
    </row>
    <row r="305" customFormat="false" ht="15" hidden="false" customHeight="false" outlineLevel="0" collapsed="false">
      <c r="A305" s="2" t="n">
        <v>45572</v>
      </c>
      <c r="B305" s="3" t="s">
        <v>319</v>
      </c>
      <c r="C305" s="3" t="s">
        <v>194</v>
      </c>
      <c r="D305" s="3" t="s">
        <v>195</v>
      </c>
      <c r="E305" s="3" t="s">
        <v>196</v>
      </c>
      <c r="F305" s="3" t="s">
        <v>38</v>
      </c>
      <c r="G305" s="3" t="s">
        <v>39</v>
      </c>
      <c r="H305" s="3" t="s">
        <v>129</v>
      </c>
      <c r="I305" s="3" t="s">
        <v>130</v>
      </c>
      <c r="J305" s="3" t="s">
        <v>67</v>
      </c>
      <c r="K305" s="3" t="s">
        <v>131</v>
      </c>
      <c r="L305" s="3" t="s">
        <v>40</v>
      </c>
      <c r="M305" s="3" t="s">
        <v>38</v>
      </c>
      <c r="N305" s="4" t="n">
        <v>48</v>
      </c>
      <c r="O305" s="5" t="n">
        <v>11.08</v>
      </c>
      <c r="P305" s="6" t="n">
        <v>0.05</v>
      </c>
      <c r="Q305" s="5" t="n">
        <f aca="false">N305*O305*(1-P305)</f>
        <v>505.248</v>
      </c>
      <c r="R305" s="5" t="n">
        <v>341.28</v>
      </c>
      <c r="S305" s="6" t="n">
        <f aca="false">IFERROR((Q305-R305)/Q305,0)</f>
        <v>0.324529735892077</v>
      </c>
    </row>
    <row r="306" customFormat="false" ht="15" hidden="false" customHeight="false" outlineLevel="0" collapsed="false">
      <c r="A306" s="2" t="n">
        <v>45572</v>
      </c>
      <c r="B306" s="3" t="s">
        <v>319</v>
      </c>
      <c r="C306" s="3" t="s">
        <v>194</v>
      </c>
      <c r="D306" s="3" t="s">
        <v>195</v>
      </c>
      <c r="E306" s="3" t="s">
        <v>196</v>
      </c>
      <c r="F306" s="3" t="s">
        <v>38</v>
      </c>
      <c r="G306" s="3" t="s">
        <v>39</v>
      </c>
      <c r="H306" s="3" t="s">
        <v>173</v>
      </c>
      <c r="I306" s="3" t="s">
        <v>174</v>
      </c>
      <c r="J306" s="3" t="s">
        <v>27</v>
      </c>
      <c r="K306" s="3" t="s">
        <v>175</v>
      </c>
      <c r="L306" s="3" t="s">
        <v>40</v>
      </c>
      <c r="M306" s="3" t="s">
        <v>38</v>
      </c>
      <c r="N306" s="4" t="n">
        <v>24</v>
      </c>
      <c r="O306" s="5" t="n">
        <v>17.03</v>
      </c>
      <c r="P306" s="6" t="n">
        <v>0</v>
      </c>
      <c r="Q306" s="5" t="n">
        <f aca="false">N306*O306*(1-P306)</f>
        <v>408.72</v>
      </c>
      <c r="R306" s="5" t="n">
        <v>266.18</v>
      </c>
      <c r="S306" s="6" t="n">
        <f aca="false">IFERROR((Q306-R306)/Q306,0)</f>
        <v>0.348747308670973</v>
      </c>
    </row>
    <row r="307" customFormat="false" ht="15" hidden="false" customHeight="false" outlineLevel="0" collapsed="false">
      <c r="A307" s="2" t="n">
        <v>45576</v>
      </c>
      <c r="B307" s="3" t="s">
        <v>320</v>
      </c>
      <c r="C307" s="3" t="s">
        <v>77</v>
      </c>
      <c r="D307" s="3" t="s">
        <v>78</v>
      </c>
      <c r="E307" s="3" t="s">
        <v>79</v>
      </c>
      <c r="F307" s="3" t="s">
        <v>321</v>
      </c>
      <c r="G307" s="3" t="s">
        <v>80</v>
      </c>
      <c r="H307" s="3" t="s">
        <v>171</v>
      </c>
      <c r="I307" s="3" t="s">
        <v>172</v>
      </c>
      <c r="J307" s="3" t="s">
        <v>27</v>
      </c>
      <c r="K307" s="3" t="s">
        <v>140</v>
      </c>
      <c r="L307" s="3" t="s">
        <v>50</v>
      </c>
      <c r="M307" s="3" t="s">
        <v>45</v>
      </c>
      <c r="N307" s="4" t="n">
        <v>12</v>
      </c>
      <c r="O307" s="5" t="n">
        <v>4.27</v>
      </c>
      <c r="P307" s="6" t="n">
        <v>0.05</v>
      </c>
      <c r="Q307" s="5" t="n">
        <f aca="false">N307*O307*(1-P307)</f>
        <v>48.678</v>
      </c>
      <c r="R307" s="5" t="n">
        <v>30.44</v>
      </c>
      <c r="S307" s="6" t="n">
        <f aca="false">IFERROR((Q307-R307)/Q307,0)</f>
        <v>0.374666173630798</v>
      </c>
    </row>
    <row r="308" customFormat="false" ht="15" hidden="false" customHeight="false" outlineLevel="0" collapsed="false">
      <c r="A308" s="2" t="n">
        <v>45576</v>
      </c>
      <c r="B308" s="3" t="s">
        <v>320</v>
      </c>
      <c r="C308" s="3" t="s">
        <v>77</v>
      </c>
      <c r="D308" s="3" t="s">
        <v>78</v>
      </c>
      <c r="E308" s="3" t="s">
        <v>79</v>
      </c>
      <c r="F308" s="3" t="s">
        <v>45</v>
      </c>
      <c r="G308" s="3" t="s">
        <v>80</v>
      </c>
      <c r="H308" s="3" t="s">
        <v>147</v>
      </c>
      <c r="I308" s="3" t="s">
        <v>148</v>
      </c>
      <c r="J308" s="3" t="s">
        <v>27</v>
      </c>
      <c r="K308" s="3" t="s">
        <v>149</v>
      </c>
      <c r="L308" s="3" t="s">
        <v>50</v>
      </c>
      <c r="M308" s="3" t="s">
        <v>45</v>
      </c>
      <c r="N308" s="4" t="n">
        <v>96</v>
      </c>
      <c r="O308" s="5" t="n">
        <v>4.42</v>
      </c>
      <c r="P308" s="6" t="n">
        <v>0</v>
      </c>
      <c r="Q308" s="5" t="n">
        <f aca="false">N308*O308*(1-P308)</f>
        <v>424.32</v>
      </c>
      <c r="R308" s="5" t="n">
        <v>271.22</v>
      </c>
      <c r="S308" s="6" t="n">
        <f aca="false">IFERROR((Q308-R308)/Q308,0)</f>
        <v>0.360812594268477</v>
      </c>
    </row>
    <row r="309" customFormat="false" ht="15" hidden="false" customHeight="false" outlineLevel="0" collapsed="false">
      <c r="A309" s="2" t="n">
        <v>45576</v>
      </c>
      <c r="B309" s="3" t="s">
        <v>320</v>
      </c>
      <c r="C309" s="3" t="s">
        <v>77</v>
      </c>
      <c r="D309" s="3" t="s">
        <v>78</v>
      </c>
      <c r="E309" s="3" t="s">
        <v>79</v>
      </c>
      <c r="F309" s="3" t="s">
        <v>45</v>
      </c>
      <c r="G309" s="3" t="s">
        <v>80</v>
      </c>
      <c r="H309" s="3" t="s">
        <v>138</v>
      </c>
      <c r="I309" s="3" t="s">
        <v>139</v>
      </c>
      <c r="J309" s="3" t="s">
        <v>27</v>
      </c>
      <c r="K309" s="3" t="s">
        <v>140</v>
      </c>
      <c r="L309" s="3" t="s">
        <v>50</v>
      </c>
      <c r="M309" s="3" t="s">
        <v>45</v>
      </c>
      <c r="N309" s="4" t="n">
        <v>48</v>
      </c>
      <c r="O309" s="5" t="n">
        <v>3.84</v>
      </c>
      <c r="P309" s="6" t="n">
        <v>0</v>
      </c>
      <c r="Q309" s="5" t="n">
        <f aca="false">N309*O309*(1-P309)</f>
        <v>184.32</v>
      </c>
      <c r="R309" s="5" t="n">
        <v>111.22</v>
      </c>
      <c r="S309" s="6" t="n">
        <f aca="false">IFERROR((Q309-R309)/Q309,0)</f>
        <v>0.396592881944444</v>
      </c>
    </row>
    <row r="310" customFormat="false" ht="15" hidden="false" customHeight="false" outlineLevel="0" collapsed="false">
      <c r="A310" s="2" t="n">
        <v>45576</v>
      </c>
      <c r="B310" s="3" t="s">
        <v>320</v>
      </c>
      <c r="C310" s="3" t="s">
        <v>77</v>
      </c>
      <c r="D310" s="3" t="s">
        <v>78</v>
      </c>
      <c r="E310" s="3" t="s">
        <v>79</v>
      </c>
      <c r="F310" s="3" t="s">
        <v>45</v>
      </c>
      <c r="G310" s="3" t="s">
        <v>80</v>
      </c>
      <c r="H310" s="3" t="s">
        <v>108</v>
      </c>
      <c r="I310" s="3" t="s">
        <v>109</v>
      </c>
      <c r="J310" s="3" t="s">
        <v>48</v>
      </c>
      <c r="K310" s="3" t="s">
        <v>110</v>
      </c>
      <c r="L310" s="3" t="s">
        <v>50</v>
      </c>
      <c r="M310" s="3" t="s">
        <v>45</v>
      </c>
      <c r="N310" s="4" t="n">
        <v>60</v>
      </c>
      <c r="O310" s="5" t="n">
        <v>6.97</v>
      </c>
      <c r="P310" s="6" t="n">
        <v>0.1</v>
      </c>
      <c r="Q310" s="5" t="n">
        <f aca="false">N310*O310*(1-P310)</f>
        <v>376.38</v>
      </c>
      <c r="R310" s="5" t="n">
        <v>254.35</v>
      </c>
      <c r="S310" s="6" t="n">
        <f aca="false">IFERROR((Q310-R310)/Q310,0)</f>
        <v>0.324220202986344</v>
      </c>
    </row>
    <row r="311" customFormat="false" ht="15" hidden="false" customHeight="false" outlineLevel="0" collapsed="false">
      <c r="A311" s="2" t="n">
        <v>45577</v>
      </c>
      <c r="B311" s="3" t="s">
        <v>322</v>
      </c>
      <c r="C311" s="3" t="s">
        <v>194</v>
      </c>
      <c r="D311" s="3" t="s">
        <v>195</v>
      </c>
      <c r="E311" s="3" t="s">
        <v>196</v>
      </c>
      <c r="F311" s="3" t="s">
        <v>38</v>
      </c>
      <c r="G311" s="3" t="s">
        <v>39</v>
      </c>
      <c r="H311" s="3" t="s">
        <v>98</v>
      </c>
      <c r="I311" s="3" t="s">
        <v>99</v>
      </c>
      <c r="J311" s="3" t="s">
        <v>89</v>
      </c>
      <c r="K311" s="3" t="s">
        <v>100</v>
      </c>
      <c r="L311" s="3" t="s">
        <v>40</v>
      </c>
      <c r="M311" s="3" t="s">
        <v>38</v>
      </c>
      <c r="N311" s="4" t="n">
        <v>12</v>
      </c>
      <c r="O311" s="5" t="n">
        <v>22.64</v>
      </c>
      <c r="P311" s="6" t="n">
        <v>0.1</v>
      </c>
      <c r="Q311" s="5" t="n">
        <f aca="false">N311*O311*(1-P311)</f>
        <v>244.512</v>
      </c>
      <c r="R311" s="5" t="n">
        <v>169.13</v>
      </c>
      <c r="S311" s="6" t="n">
        <f aca="false">IFERROR((Q311-R311)/Q311,0)</f>
        <v>0.308295707368146</v>
      </c>
    </row>
    <row r="312" customFormat="false" ht="15" hidden="false" customHeight="false" outlineLevel="0" collapsed="false">
      <c r="A312" s="2" t="n">
        <v>45577</v>
      </c>
      <c r="B312" s="3" t="s">
        <v>322</v>
      </c>
      <c r="C312" s="3" t="s">
        <v>194</v>
      </c>
      <c r="D312" s="3" t="s">
        <v>195</v>
      </c>
      <c r="E312" s="3" t="s">
        <v>196</v>
      </c>
      <c r="F312" s="3" t="s">
        <v>38</v>
      </c>
      <c r="G312" s="3" t="s">
        <v>39</v>
      </c>
      <c r="H312" s="3" t="s">
        <v>173</v>
      </c>
      <c r="I312" s="3" t="s">
        <v>174</v>
      </c>
      <c r="J312" s="3" t="s">
        <v>27</v>
      </c>
      <c r="K312" s="3" t="s">
        <v>175</v>
      </c>
      <c r="L312" s="3" t="s">
        <v>40</v>
      </c>
      <c r="M312" s="3" t="s">
        <v>38</v>
      </c>
      <c r="N312" s="4" t="n">
        <v>72</v>
      </c>
      <c r="O312" s="5" t="n">
        <v>19.08</v>
      </c>
      <c r="P312" s="6" t="n">
        <v>0.1</v>
      </c>
      <c r="Q312" s="5" t="n">
        <f aca="false">N312*O312*(1-P312)</f>
        <v>1236.384</v>
      </c>
      <c r="R312" s="5" t="n">
        <v>795.57</v>
      </c>
      <c r="S312" s="6" t="n">
        <f aca="false">IFERROR((Q312-R312)/Q312,0)</f>
        <v>0.356534862955198</v>
      </c>
    </row>
    <row r="313" customFormat="false" ht="15" hidden="false" customHeight="false" outlineLevel="0" collapsed="false">
      <c r="A313" s="2" t="n">
        <v>45581</v>
      </c>
      <c r="B313" s="3" t="s">
        <v>323</v>
      </c>
      <c r="C313" s="3" t="s">
        <v>135</v>
      </c>
      <c r="D313" s="3" t="s">
        <v>136</v>
      </c>
      <c r="E313" s="3" t="s">
        <v>137</v>
      </c>
      <c r="F313" s="3" t="s">
        <v>45</v>
      </c>
      <c r="G313" s="3" t="s">
        <v>39</v>
      </c>
      <c r="H313" s="3" t="s">
        <v>98</v>
      </c>
      <c r="I313" s="3" t="s">
        <v>99</v>
      </c>
      <c r="J313" s="3" t="s">
        <v>89</v>
      </c>
      <c r="K313" s="3" t="s">
        <v>100</v>
      </c>
      <c r="L313" s="3" t="s">
        <v>50</v>
      </c>
      <c r="M313" s="3" t="s">
        <v>45</v>
      </c>
      <c r="N313" s="4" t="n">
        <v>120</v>
      </c>
      <c r="O313" s="5" t="n">
        <v>21.49</v>
      </c>
      <c r="P313" s="6" t="n">
        <v>0</v>
      </c>
      <c r="Q313" s="5" t="n">
        <f aca="false">N313*O313*(1-P313)</f>
        <v>2578.8</v>
      </c>
      <c r="R313" s="5" t="n">
        <v>1662.39</v>
      </c>
      <c r="S313" s="6" t="n">
        <f aca="false">IFERROR((Q313-R313)/Q313,0)</f>
        <v>0.355362959516054</v>
      </c>
    </row>
    <row r="314" customFormat="false" ht="15" hidden="false" customHeight="false" outlineLevel="0" collapsed="false">
      <c r="A314" s="2" t="n">
        <v>45582</v>
      </c>
      <c r="B314" s="3" t="s">
        <v>324</v>
      </c>
      <c r="C314" s="3" t="s">
        <v>92</v>
      </c>
      <c r="D314" s="3" t="s">
        <v>93</v>
      </c>
      <c r="E314" s="3" t="s">
        <v>94</v>
      </c>
      <c r="F314" s="3" t="s">
        <v>45</v>
      </c>
      <c r="G314" s="3" t="s">
        <v>95</v>
      </c>
      <c r="H314" s="3" t="s">
        <v>81</v>
      </c>
      <c r="I314" s="3" t="s">
        <v>82</v>
      </c>
      <c r="J314" s="3" t="s">
        <v>32</v>
      </c>
      <c r="K314" s="3" t="s">
        <v>83</v>
      </c>
      <c r="L314" s="3" t="s">
        <v>50</v>
      </c>
      <c r="M314" s="3" t="s">
        <v>45</v>
      </c>
      <c r="N314" s="4" t="n">
        <v>6</v>
      </c>
      <c r="O314" s="5" t="n">
        <v>20.32</v>
      </c>
      <c r="P314" s="6" t="n">
        <v>0</v>
      </c>
      <c r="Q314" s="5" t="n">
        <f aca="false">N314*O314*(1-P314)</f>
        <v>121.92</v>
      </c>
      <c r="R314" s="5" t="n">
        <v>79.75</v>
      </c>
      <c r="S314" s="6" t="n">
        <f aca="false">IFERROR((Q314-R314)/Q314,0)</f>
        <v>0.345882545931759</v>
      </c>
    </row>
    <row r="315" customFormat="false" ht="15" hidden="false" customHeight="false" outlineLevel="0" collapsed="false">
      <c r="A315" s="2" t="n">
        <v>45582</v>
      </c>
      <c r="B315" s="3" t="s">
        <v>325</v>
      </c>
      <c r="C315" s="3" t="s">
        <v>201</v>
      </c>
      <c r="D315" s="3" t="s">
        <v>202</v>
      </c>
      <c r="E315" s="3" t="s">
        <v>203</v>
      </c>
      <c r="F315" s="3" t="s">
        <v>170</v>
      </c>
      <c r="G315" s="3" t="s">
        <v>24</v>
      </c>
      <c r="H315" s="3" t="s">
        <v>54</v>
      </c>
      <c r="I315" s="3" t="s">
        <v>55</v>
      </c>
      <c r="J315" s="3" t="s">
        <v>56</v>
      </c>
      <c r="K315" s="3" t="s">
        <v>57</v>
      </c>
      <c r="L315" s="3" t="s">
        <v>106</v>
      </c>
      <c r="M315" s="3" t="s">
        <v>107</v>
      </c>
      <c r="N315" s="4" t="n">
        <v>24</v>
      </c>
      <c r="O315" s="5" t="n">
        <v>4.94</v>
      </c>
      <c r="P315" s="6" t="n">
        <v>0.05</v>
      </c>
      <c r="Q315" s="5" t="n">
        <f aca="false">N315*O315*(1-P315)</f>
        <v>112.632</v>
      </c>
      <c r="R315" s="5" t="n">
        <v>69.24</v>
      </c>
      <c r="S315" s="6" t="n">
        <f aca="false">IFERROR((Q315-R315)/Q315,0)</f>
        <v>0.385254634562114</v>
      </c>
    </row>
    <row r="316" customFormat="false" ht="15" hidden="false" customHeight="false" outlineLevel="0" collapsed="false">
      <c r="A316" s="2" t="n">
        <v>45584</v>
      </c>
      <c r="B316" s="3" t="s">
        <v>326</v>
      </c>
      <c r="C316" s="3" t="s">
        <v>20</v>
      </c>
      <c r="D316" s="3" t="s">
        <v>21</v>
      </c>
      <c r="E316" s="3" t="s">
        <v>22</v>
      </c>
      <c r="F316" s="3" t="s">
        <v>23</v>
      </c>
      <c r="G316" s="3" t="s">
        <v>24</v>
      </c>
      <c r="H316" s="3" t="s">
        <v>171</v>
      </c>
      <c r="I316" s="3" t="s">
        <v>172</v>
      </c>
      <c r="J316" s="3" t="s">
        <v>27</v>
      </c>
      <c r="K316" s="3" t="s">
        <v>140</v>
      </c>
      <c r="L316" s="3" t="s">
        <v>29</v>
      </c>
      <c r="M316" s="3" t="s">
        <v>23</v>
      </c>
      <c r="N316" s="4" t="n">
        <v>6</v>
      </c>
      <c r="O316" s="5" t="n">
        <v>3.98</v>
      </c>
      <c r="P316" s="6" t="n">
        <v>0.15</v>
      </c>
      <c r="Q316" s="5" t="n">
        <f aca="false">N316*O316*(1-P316)</f>
        <v>20.298</v>
      </c>
      <c r="R316" s="5" t="n">
        <v>15.29</v>
      </c>
      <c r="S316" s="6" t="n">
        <f aca="false">IFERROR((Q316-R316)/Q316,0)</f>
        <v>0.246723815154202</v>
      </c>
    </row>
    <row r="317" customFormat="false" ht="15" hidden="false" customHeight="false" outlineLevel="0" collapsed="false">
      <c r="A317" s="2" t="n">
        <v>45584</v>
      </c>
      <c r="B317" s="3" t="s">
        <v>326</v>
      </c>
      <c r="C317" s="3" t="s">
        <v>20</v>
      </c>
      <c r="D317" s="3" t="s">
        <v>21</v>
      </c>
      <c r="E317" s="3" t="s">
        <v>22</v>
      </c>
      <c r="F317" s="3" t="s">
        <v>23</v>
      </c>
      <c r="G317" s="3" t="s">
        <v>24</v>
      </c>
      <c r="H317" s="3" t="s">
        <v>141</v>
      </c>
      <c r="I317" s="3" t="s">
        <v>142</v>
      </c>
      <c r="J317" s="3" t="s">
        <v>89</v>
      </c>
      <c r="K317" s="3" t="s">
        <v>100</v>
      </c>
      <c r="L317" s="3" t="s">
        <v>29</v>
      </c>
      <c r="M317" s="3" t="s">
        <v>23</v>
      </c>
      <c r="N317" s="4" t="n">
        <v>12</v>
      </c>
      <c r="O317" s="5" t="n">
        <v>20.99</v>
      </c>
      <c r="P317" s="6" t="n">
        <v>0</v>
      </c>
      <c r="Q317" s="5" t="n">
        <f aca="false">N317*O317*(1-P317)</f>
        <v>251.88</v>
      </c>
      <c r="R317" s="5" t="n">
        <v>148</v>
      </c>
      <c r="S317" s="6" t="n">
        <f aca="false">IFERROR((Q317-R317)/Q317,0)</f>
        <v>0.412418612037478</v>
      </c>
    </row>
    <row r="318" customFormat="false" ht="15" hidden="false" customHeight="false" outlineLevel="0" collapsed="false">
      <c r="A318" s="2" t="n">
        <v>45584</v>
      </c>
      <c r="B318" s="3" t="s">
        <v>326</v>
      </c>
      <c r="C318" s="3" t="s">
        <v>20</v>
      </c>
      <c r="D318" s="3" t="s">
        <v>21</v>
      </c>
      <c r="E318" s="3" t="s">
        <v>22</v>
      </c>
      <c r="F318" s="3" t="s">
        <v>23</v>
      </c>
      <c r="G318" s="3" t="s">
        <v>24</v>
      </c>
      <c r="H318" s="3" t="s">
        <v>132</v>
      </c>
      <c r="I318" s="3" t="s">
        <v>133</v>
      </c>
      <c r="J318" s="3" t="s">
        <v>27</v>
      </c>
      <c r="K318" s="3" t="s">
        <v>28</v>
      </c>
      <c r="L318" s="3" t="s">
        <v>29</v>
      </c>
      <c r="M318" s="3" t="s">
        <v>23</v>
      </c>
      <c r="N318" s="4" t="n">
        <v>12</v>
      </c>
      <c r="O318" s="5" t="n">
        <v>13.61</v>
      </c>
      <c r="P318" s="6" t="n">
        <v>0</v>
      </c>
      <c r="Q318" s="5" t="n">
        <f aca="false">N318*O318*(1-P318)</f>
        <v>163.32</v>
      </c>
      <c r="R318" s="5" t="n">
        <v>97.88</v>
      </c>
      <c r="S318" s="6" t="n">
        <f aca="false">IFERROR((Q318-R318)/Q318,0)</f>
        <v>0.400685770266961</v>
      </c>
    </row>
    <row r="319" customFormat="false" ht="15" hidden="false" customHeight="false" outlineLevel="0" collapsed="false">
      <c r="A319" s="2" t="n">
        <v>45584</v>
      </c>
      <c r="B319" s="3" t="s">
        <v>327</v>
      </c>
      <c r="C319" s="3" t="s">
        <v>253</v>
      </c>
      <c r="D319" s="3" t="s">
        <v>254</v>
      </c>
      <c r="E319" s="3" t="s">
        <v>255</v>
      </c>
      <c r="F319" s="3" t="s">
        <v>38</v>
      </c>
      <c r="G319" s="3" t="s">
        <v>95</v>
      </c>
      <c r="H319" s="3" t="s">
        <v>46</v>
      </c>
      <c r="I319" s="3" t="s">
        <v>47</v>
      </c>
      <c r="J319" s="3" t="s">
        <v>48</v>
      </c>
      <c r="K319" s="3" t="s">
        <v>49</v>
      </c>
      <c r="L319" s="3" t="s">
        <v>40</v>
      </c>
      <c r="M319" s="3" t="s">
        <v>38</v>
      </c>
      <c r="N319" s="4" t="n">
        <v>48</v>
      </c>
      <c r="O319" s="5" t="n">
        <v>15.96</v>
      </c>
      <c r="P319" s="6" t="n">
        <v>0.1</v>
      </c>
      <c r="Q319" s="5" t="n">
        <f aca="false">N319*O319*(1-P319)</f>
        <v>689.472</v>
      </c>
      <c r="R319" s="5" t="n">
        <v>458.54</v>
      </c>
      <c r="S319" s="6" t="n">
        <f aca="false">IFERROR((Q319-R319)/Q319,0)</f>
        <v>0.334940360159658</v>
      </c>
    </row>
    <row r="320" customFormat="false" ht="15" hidden="false" customHeight="false" outlineLevel="0" collapsed="false">
      <c r="A320" s="2" t="n">
        <v>45584</v>
      </c>
      <c r="B320" s="3" t="s">
        <v>327</v>
      </c>
      <c r="C320" s="3" t="s">
        <v>253</v>
      </c>
      <c r="D320" s="3" t="s">
        <v>254</v>
      </c>
      <c r="E320" s="3" t="s">
        <v>255</v>
      </c>
      <c r="F320" s="3" t="s">
        <v>38</v>
      </c>
      <c r="G320" s="3" t="s">
        <v>95</v>
      </c>
      <c r="H320" s="3" t="s">
        <v>129</v>
      </c>
      <c r="I320" s="3" t="s">
        <v>130</v>
      </c>
      <c r="J320" s="3" t="s">
        <v>67</v>
      </c>
      <c r="K320" s="3" t="s">
        <v>131</v>
      </c>
      <c r="L320" s="3" t="s">
        <v>40</v>
      </c>
      <c r="M320" s="3" t="s">
        <v>38</v>
      </c>
      <c r="N320" s="4" t="n">
        <v>60</v>
      </c>
      <c r="O320" s="5" t="n">
        <v>12.14</v>
      </c>
      <c r="P320" s="6" t="n">
        <v>0.15</v>
      </c>
      <c r="Q320" s="5" t="n">
        <f aca="false">N320*O320*(1-P320)</f>
        <v>619.14</v>
      </c>
      <c r="R320" s="5" t="n">
        <v>414.64</v>
      </c>
      <c r="S320" s="6" t="n">
        <f aca="false">IFERROR((Q320-R320)/Q320,0)</f>
        <v>0.330296863391156</v>
      </c>
    </row>
    <row r="321" customFormat="false" ht="15" hidden="false" customHeight="false" outlineLevel="0" collapsed="false">
      <c r="A321" s="2" t="n">
        <v>45587</v>
      </c>
      <c r="B321" s="3" t="s">
        <v>328</v>
      </c>
      <c r="C321" s="3" t="s">
        <v>70</v>
      </c>
      <c r="D321" s="3" t="s">
        <v>71</v>
      </c>
      <c r="E321" s="3" t="s">
        <v>72</v>
      </c>
      <c r="F321" s="3" t="s">
        <v>45</v>
      </c>
      <c r="G321" s="3" t="s">
        <v>39</v>
      </c>
      <c r="H321" s="3" t="s">
        <v>222</v>
      </c>
      <c r="I321" s="3" t="s">
        <v>223</v>
      </c>
      <c r="J321" s="3" t="s">
        <v>67</v>
      </c>
      <c r="K321" s="3" t="s">
        <v>184</v>
      </c>
      <c r="L321" s="3" t="s">
        <v>50</v>
      </c>
      <c r="M321" s="3" t="s">
        <v>45</v>
      </c>
      <c r="N321" s="4" t="n">
        <v>12</v>
      </c>
      <c r="O321" s="5" t="n">
        <v>19.8</v>
      </c>
      <c r="P321" s="6" t="n">
        <v>0</v>
      </c>
      <c r="Q321" s="5" t="n">
        <f aca="false">N321*O321*(1-P321)</f>
        <v>237.6</v>
      </c>
      <c r="R321" s="5" t="n">
        <v>136.87</v>
      </c>
      <c r="S321" s="6" t="n">
        <f aca="false">IFERROR((Q321-R321)/Q321,0)</f>
        <v>0.423947811447811</v>
      </c>
    </row>
    <row r="322" customFormat="false" ht="15" hidden="false" customHeight="false" outlineLevel="0" collapsed="false">
      <c r="A322" s="2" t="n">
        <v>45587</v>
      </c>
      <c r="B322" s="3" t="s">
        <v>328</v>
      </c>
      <c r="C322" s="3" t="s">
        <v>70</v>
      </c>
      <c r="D322" s="3" t="s">
        <v>71</v>
      </c>
      <c r="E322" s="3" t="s">
        <v>72</v>
      </c>
      <c r="F322" s="3" t="s">
        <v>45</v>
      </c>
      <c r="G322" s="3" t="s">
        <v>39</v>
      </c>
      <c r="H322" s="3" t="s">
        <v>145</v>
      </c>
      <c r="I322" s="3" t="s">
        <v>146</v>
      </c>
      <c r="J322" s="3" t="s">
        <v>32</v>
      </c>
      <c r="K322" s="3" t="s">
        <v>33</v>
      </c>
      <c r="L322" s="3" t="s">
        <v>50</v>
      </c>
      <c r="M322" s="3" t="s">
        <v>45</v>
      </c>
      <c r="N322" s="4" t="n">
        <v>12</v>
      </c>
      <c r="O322" s="5" t="n">
        <v>17.61</v>
      </c>
      <c r="P322" s="6" t="n">
        <v>0</v>
      </c>
      <c r="Q322" s="5" t="n">
        <f aca="false">N322*O322*(1-P322)</f>
        <v>211.32</v>
      </c>
      <c r="R322" s="5" t="n">
        <v>140.14</v>
      </c>
      <c r="S322" s="6" t="n">
        <f aca="false">IFERROR((Q322-R322)/Q322,0)</f>
        <v>0.336835131554041</v>
      </c>
    </row>
    <row r="323" customFormat="false" ht="15" hidden="false" customHeight="false" outlineLevel="0" collapsed="false">
      <c r="A323" s="2" t="n">
        <v>45592</v>
      </c>
      <c r="B323" s="3" t="s">
        <v>329</v>
      </c>
      <c r="C323" s="3" t="s">
        <v>167</v>
      </c>
      <c r="D323" s="3" t="s">
        <v>168</v>
      </c>
      <c r="E323" s="3" t="s">
        <v>169</v>
      </c>
      <c r="F323" s="3" t="s">
        <v>170</v>
      </c>
      <c r="G323" s="3" t="s">
        <v>39</v>
      </c>
      <c r="H323" s="3" t="s">
        <v>51</v>
      </c>
      <c r="I323" s="3" t="s">
        <v>52</v>
      </c>
      <c r="J323" s="3" t="s">
        <v>27</v>
      </c>
      <c r="K323" s="3" t="s">
        <v>53</v>
      </c>
      <c r="L323" s="3" t="s">
        <v>106</v>
      </c>
      <c r="M323" s="3" t="s">
        <v>107</v>
      </c>
      <c r="N323" s="4" t="n">
        <v>48</v>
      </c>
      <c r="O323" s="5" t="n">
        <v>21.88</v>
      </c>
      <c r="P323" s="6" t="n">
        <v>0</v>
      </c>
      <c r="Q323" s="5" t="n">
        <f aca="false">N323*O323*(1-P323)</f>
        <v>1050.24</v>
      </c>
      <c r="R323" s="5" t="n">
        <v>679.76</v>
      </c>
      <c r="S323" s="6" t="n">
        <f aca="false">IFERROR((Q323-R323)/Q323,0)</f>
        <v>0.35275746496039</v>
      </c>
    </row>
    <row r="324" customFormat="false" ht="15" hidden="false" customHeight="false" outlineLevel="0" collapsed="false">
      <c r="A324" s="2" t="n">
        <v>45592</v>
      </c>
      <c r="B324" s="3" t="s">
        <v>329</v>
      </c>
      <c r="C324" s="3" t="s">
        <v>167</v>
      </c>
      <c r="D324" s="3" t="s">
        <v>168</v>
      </c>
      <c r="E324" s="3" t="s">
        <v>169</v>
      </c>
      <c r="F324" s="3" t="s">
        <v>170</v>
      </c>
      <c r="G324" s="3" t="s">
        <v>39</v>
      </c>
      <c r="H324" s="3" t="s">
        <v>173</v>
      </c>
      <c r="I324" s="3" t="s">
        <v>174</v>
      </c>
      <c r="J324" s="3" t="s">
        <v>27</v>
      </c>
      <c r="K324" s="3" t="s">
        <v>175</v>
      </c>
      <c r="L324" s="3" t="s">
        <v>106</v>
      </c>
      <c r="M324" s="3" t="s">
        <v>107</v>
      </c>
      <c r="N324" s="4" t="n">
        <v>60</v>
      </c>
      <c r="O324" s="5" t="n">
        <v>18.82</v>
      </c>
      <c r="P324" s="6" t="n">
        <v>0</v>
      </c>
      <c r="Q324" s="5" t="n">
        <f aca="false">N324*O324*(1-P324)</f>
        <v>1129.2</v>
      </c>
      <c r="R324" s="5" t="n">
        <v>672.87</v>
      </c>
      <c r="S324" s="6" t="n">
        <f aca="false">IFERROR((Q324-R324)/Q324,0)</f>
        <v>0.404117959617428</v>
      </c>
    </row>
    <row r="325" customFormat="false" ht="15" hidden="false" customHeight="false" outlineLevel="0" collapsed="false">
      <c r="A325" s="2" t="n">
        <v>45594</v>
      </c>
      <c r="B325" s="3" t="s">
        <v>330</v>
      </c>
      <c r="C325" s="3" t="s">
        <v>92</v>
      </c>
      <c r="D325" s="3" t="s">
        <v>93</v>
      </c>
      <c r="E325" s="3" t="s">
        <v>94</v>
      </c>
      <c r="F325" s="3" t="s">
        <v>45</v>
      </c>
      <c r="G325" s="3" t="s">
        <v>95</v>
      </c>
      <c r="H325" s="3" t="s">
        <v>25</v>
      </c>
      <c r="I325" s="3" t="s">
        <v>26</v>
      </c>
      <c r="J325" s="3" t="s">
        <v>27</v>
      </c>
      <c r="K325" s="3" t="s">
        <v>28</v>
      </c>
      <c r="L325" s="3" t="s">
        <v>50</v>
      </c>
      <c r="M325" s="3" t="s">
        <v>45</v>
      </c>
      <c r="N325" s="4" t="n">
        <v>72</v>
      </c>
      <c r="O325" s="5" t="n">
        <v>7.29</v>
      </c>
      <c r="P325" s="6" t="n">
        <v>0</v>
      </c>
      <c r="Q325" s="5" t="n">
        <f aca="false">N325*O325*(1-P325)</f>
        <v>524.88</v>
      </c>
      <c r="R325" s="5" t="n">
        <v>295.95</v>
      </c>
      <c r="S325" s="6" t="n">
        <f aca="false">IFERROR((Q325-R325)/Q325,0)</f>
        <v>0.436156835848194</v>
      </c>
    </row>
    <row r="326" customFormat="false" ht="15" hidden="false" customHeight="false" outlineLevel="0" collapsed="false">
      <c r="A326" s="2" t="n">
        <v>45596</v>
      </c>
      <c r="B326" s="3" t="s">
        <v>331</v>
      </c>
      <c r="C326" s="3" t="s">
        <v>253</v>
      </c>
      <c r="D326" s="3" t="s">
        <v>254</v>
      </c>
      <c r="E326" s="3" t="s">
        <v>255</v>
      </c>
      <c r="F326" s="3" t="s">
        <v>38</v>
      </c>
      <c r="G326" s="3" t="s">
        <v>95</v>
      </c>
      <c r="H326" s="3" t="s">
        <v>54</v>
      </c>
      <c r="I326" s="3" t="s">
        <v>55</v>
      </c>
      <c r="J326" s="3" t="s">
        <v>56</v>
      </c>
      <c r="K326" s="3" t="s">
        <v>57</v>
      </c>
      <c r="L326" s="3" t="s">
        <v>40</v>
      </c>
      <c r="M326" s="3" t="s">
        <v>38</v>
      </c>
      <c r="N326" s="4" t="n">
        <v>12</v>
      </c>
      <c r="O326" s="5" t="n">
        <v>4.74</v>
      </c>
      <c r="P326" s="6" t="n">
        <v>0.15</v>
      </c>
      <c r="Q326" s="5" t="n">
        <f aca="false">N326*O326*(1-P326)</f>
        <v>48.348</v>
      </c>
      <c r="R326" s="5" t="n">
        <v>34.54</v>
      </c>
      <c r="S326" s="6" t="n">
        <f aca="false">IFERROR((Q326-R326)/Q326,0)</f>
        <v>0.285596094978076</v>
      </c>
    </row>
    <row r="327" customFormat="false" ht="15" hidden="false" customHeight="false" outlineLevel="0" collapsed="false">
      <c r="A327" s="2" t="n">
        <v>45597</v>
      </c>
      <c r="B327" s="3" t="s">
        <v>332</v>
      </c>
      <c r="C327" s="3" t="s">
        <v>228</v>
      </c>
      <c r="D327" s="3" t="s">
        <v>124</v>
      </c>
      <c r="E327" s="3" t="s">
        <v>229</v>
      </c>
      <c r="F327" s="3" t="s">
        <v>45</v>
      </c>
      <c r="G327" s="3" t="s">
        <v>39</v>
      </c>
      <c r="H327" s="3" t="s">
        <v>73</v>
      </c>
      <c r="I327" s="3" t="s">
        <v>74</v>
      </c>
      <c r="J327" s="3" t="s">
        <v>48</v>
      </c>
      <c r="K327" s="3" t="s">
        <v>75</v>
      </c>
      <c r="L327" s="3" t="s">
        <v>50</v>
      </c>
      <c r="M327" s="3" t="s">
        <v>45</v>
      </c>
      <c r="N327" s="4" t="n">
        <v>12</v>
      </c>
      <c r="O327" s="5" t="n">
        <v>8.8</v>
      </c>
      <c r="P327" s="6" t="n">
        <v>0</v>
      </c>
      <c r="Q327" s="5" t="n">
        <f aca="false">N327*O327*(1-P327)</f>
        <v>105.6</v>
      </c>
      <c r="R327" s="5" t="n">
        <v>65.39</v>
      </c>
      <c r="S327" s="6" t="n">
        <f aca="false">IFERROR((Q327-R327)/Q327,0)</f>
        <v>0.380776515151515</v>
      </c>
    </row>
    <row r="328" customFormat="false" ht="15" hidden="false" customHeight="false" outlineLevel="0" collapsed="false">
      <c r="A328" s="2" t="n">
        <v>45597</v>
      </c>
      <c r="B328" s="3" t="s">
        <v>332</v>
      </c>
      <c r="C328" s="3" t="s">
        <v>228</v>
      </c>
      <c r="D328" s="3" t="s">
        <v>124</v>
      </c>
      <c r="E328" s="3" t="s">
        <v>229</v>
      </c>
      <c r="F328" s="3" t="s">
        <v>45</v>
      </c>
      <c r="G328" s="3" t="s">
        <v>39</v>
      </c>
      <c r="H328" s="3" t="s">
        <v>87</v>
      </c>
      <c r="I328" s="3" t="s">
        <v>88</v>
      </c>
      <c r="J328" s="3" t="s">
        <v>89</v>
      </c>
      <c r="K328" s="3" t="s">
        <v>90</v>
      </c>
      <c r="L328" s="3" t="s">
        <v>50</v>
      </c>
      <c r="M328" s="3" t="s">
        <v>45</v>
      </c>
      <c r="N328" s="4" t="n">
        <v>72</v>
      </c>
      <c r="O328" s="5" t="n">
        <v>15.3</v>
      </c>
      <c r="P328" s="6" t="n">
        <v>0</v>
      </c>
      <c r="Q328" s="5" t="n">
        <f aca="false">N328*O328*(1-P328)</f>
        <v>1101.6</v>
      </c>
      <c r="R328" s="5" t="n">
        <v>729.24</v>
      </c>
      <c r="S328" s="6" t="n">
        <f aca="false">IFERROR((Q328-R328)/Q328,0)</f>
        <v>0.3380174291939</v>
      </c>
    </row>
    <row r="329" customFormat="false" ht="15" hidden="false" customHeight="false" outlineLevel="0" collapsed="false">
      <c r="A329" s="2" t="n">
        <v>45597</v>
      </c>
      <c r="B329" s="3" t="s">
        <v>332</v>
      </c>
      <c r="C329" s="3" t="s">
        <v>228</v>
      </c>
      <c r="D329" s="3" t="s">
        <v>124</v>
      </c>
      <c r="E329" s="3" t="s">
        <v>229</v>
      </c>
      <c r="F329" s="3" t="s">
        <v>45</v>
      </c>
      <c r="G329" s="3" t="s">
        <v>39</v>
      </c>
      <c r="H329" s="3" t="s">
        <v>147</v>
      </c>
      <c r="I329" s="3" t="s">
        <v>148</v>
      </c>
      <c r="J329" s="3" t="s">
        <v>27</v>
      </c>
      <c r="K329" s="3" t="s">
        <v>149</v>
      </c>
      <c r="L329" s="3" t="s">
        <v>50</v>
      </c>
      <c r="M329" s="3" t="s">
        <v>45</v>
      </c>
      <c r="N329" s="4" t="n">
        <v>60</v>
      </c>
      <c r="O329" s="5" t="n">
        <v>4.19</v>
      </c>
      <c r="P329" s="6" t="n">
        <v>0.15</v>
      </c>
      <c r="Q329" s="5" t="n">
        <f aca="false">N329*O329*(1-P329)</f>
        <v>213.69</v>
      </c>
      <c r="R329" s="5" t="n">
        <v>167.67</v>
      </c>
      <c r="S329" s="6" t="n">
        <f aca="false">IFERROR((Q329-R329)/Q329,0)</f>
        <v>0.215358697178155</v>
      </c>
    </row>
    <row r="330" customFormat="false" ht="15" hidden="false" customHeight="false" outlineLevel="0" collapsed="false">
      <c r="A330" s="2" t="n">
        <v>45597</v>
      </c>
      <c r="B330" s="3" t="s">
        <v>332</v>
      </c>
      <c r="C330" s="3" t="s">
        <v>228</v>
      </c>
      <c r="D330" s="3" t="s">
        <v>124</v>
      </c>
      <c r="E330" s="3" t="s">
        <v>229</v>
      </c>
      <c r="F330" s="3" t="s">
        <v>45</v>
      </c>
      <c r="G330" s="3" t="s">
        <v>39</v>
      </c>
      <c r="H330" s="3" t="s">
        <v>173</v>
      </c>
      <c r="I330" s="3" t="s">
        <v>174</v>
      </c>
      <c r="J330" s="3" t="s">
        <v>27</v>
      </c>
      <c r="K330" s="3" t="s">
        <v>175</v>
      </c>
      <c r="L330" s="3" t="s">
        <v>50</v>
      </c>
      <c r="M330" s="3" t="s">
        <v>45</v>
      </c>
      <c r="N330" s="4" t="n">
        <v>12</v>
      </c>
      <c r="O330" s="5" t="n">
        <v>16.74</v>
      </c>
      <c r="P330" s="6" t="n">
        <v>0</v>
      </c>
      <c r="Q330" s="5" t="n">
        <f aca="false">N330*O330*(1-P330)</f>
        <v>200.88</v>
      </c>
      <c r="R330" s="5" t="n">
        <v>131.44</v>
      </c>
      <c r="S330" s="6" t="n">
        <f aca="false">IFERROR((Q330-R330)/Q330,0)</f>
        <v>0.345679012345679</v>
      </c>
    </row>
    <row r="331" customFormat="false" ht="15" hidden="false" customHeight="false" outlineLevel="0" collapsed="false">
      <c r="A331" s="2" t="n">
        <v>45599</v>
      </c>
      <c r="B331" s="3" t="s">
        <v>333</v>
      </c>
      <c r="C331" s="3" t="s">
        <v>35</v>
      </c>
      <c r="D331" s="3" t="s">
        <v>36</v>
      </c>
      <c r="E331" s="3" t="s">
        <v>37</v>
      </c>
      <c r="F331" s="3" t="s">
        <v>38</v>
      </c>
      <c r="G331" s="3" t="s">
        <v>39</v>
      </c>
      <c r="H331" s="3" t="s">
        <v>96</v>
      </c>
      <c r="I331" s="3" t="s">
        <v>97</v>
      </c>
      <c r="J331" s="3" t="s">
        <v>48</v>
      </c>
      <c r="K331" s="3" t="s">
        <v>75</v>
      </c>
      <c r="L331" s="3" t="s">
        <v>40</v>
      </c>
      <c r="M331" s="3" t="s">
        <v>38</v>
      </c>
      <c r="N331" s="4" t="n">
        <v>60</v>
      </c>
      <c r="O331" s="5" t="n">
        <v>7.81</v>
      </c>
      <c r="P331" s="6" t="n">
        <v>0.15</v>
      </c>
      <c r="Q331" s="5" t="n">
        <f aca="false">N331*O331*(1-P331)</f>
        <v>398.31</v>
      </c>
      <c r="R331" s="5" t="n">
        <v>290.34</v>
      </c>
      <c r="S331" s="6" t="n">
        <f aca="false">IFERROR((Q331-R331)/Q331,0)</f>
        <v>0.271070271898772</v>
      </c>
    </row>
    <row r="332" customFormat="false" ht="15" hidden="false" customHeight="false" outlineLevel="0" collapsed="false">
      <c r="A332" s="2" t="n">
        <v>45599</v>
      </c>
      <c r="B332" s="3" t="s">
        <v>333</v>
      </c>
      <c r="C332" s="3" t="s">
        <v>35</v>
      </c>
      <c r="D332" s="3" t="s">
        <v>36</v>
      </c>
      <c r="E332" s="3" t="s">
        <v>37</v>
      </c>
      <c r="F332" s="3" t="s">
        <v>38</v>
      </c>
      <c r="G332" s="3" t="s">
        <v>39</v>
      </c>
      <c r="H332" s="3" t="s">
        <v>25</v>
      </c>
      <c r="I332" s="3" t="s">
        <v>26</v>
      </c>
      <c r="J332" s="3" t="s">
        <v>27</v>
      </c>
      <c r="K332" s="3" t="s">
        <v>28</v>
      </c>
      <c r="L332" s="3" t="s">
        <v>40</v>
      </c>
      <c r="M332" s="3" t="s">
        <v>38</v>
      </c>
      <c r="N332" s="4" t="n">
        <v>6</v>
      </c>
      <c r="O332" s="5" t="n">
        <v>7.11</v>
      </c>
      <c r="P332" s="6" t="n">
        <v>0</v>
      </c>
      <c r="Q332" s="5" t="n">
        <f aca="false">N332*O332*(1-P332)</f>
        <v>42.66</v>
      </c>
      <c r="R332" s="5" t="n">
        <v>24.59</v>
      </c>
      <c r="S332" s="6" t="n">
        <f aca="false">IFERROR((Q332-R332)/Q332,0)</f>
        <v>0.423581809657759</v>
      </c>
    </row>
    <row r="333" customFormat="false" ht="15" hidden="false" customHeight="false" outlineLevel="0" collapsed="false">
      <c r="A333" s="2" t="n">
        <v>45599</v>
      </c>
      <c r="B333" s="3" t="s">
        <v>333</v>
      </c>
      <c r="C333" s="3" t="s">
        <v>35</v>
      </c>
      <c r="D333" s="3" t="s">
        <v>36</v>
      </c>
      <c r="E333" s="3" t="s">
        <v>37</v>
      </c>
      <c r="F333" s="3" t="s">
        <v>38</v>
      </c>
      <c r="G333" s="3" t="s">
        <v>39</v>
      </c>
      <c r="H333" s="3" t="s">
        <v>147</v>
      </c>
      <c r="I333" s="3" t="s">
        <v>148</v>
      </c>
      <c r="J333" s="3" t="s">
        <v>27</v>
      </c>
      <c r="K333" s="3" t="s">
        <v>149</v>
      </c>
      <c r="L333" s="3" t="s">
        <v>40</v>
      </c>
      <c r="M333" s="3" t="s">
        <v>38</v>
      </c>
      <c r="N333" s="4" t="n">
        <v>120</v>
      </c>
      <c r="O333" s="5" t="n">
        <v>4.6</v>
      </c>
      <c r="P333" s="6" t="n">
        <v>0</v>
      </c>
      <c r="Q333" s="5" t="n">
        <f aca="false">N333*O333*(1-P333)</f>
        <v>552</v>
      </c>
      <c r="R333" s="5" t="n">
        <v>336.38</v>
      </c>
      <c r="S333" s="6" t="n">
        <f aca="false">IFERROR((Q333-R333)/Q333,0)</f>
        <v>0.390615942028986</v>
      </c>
    </row>
    <row r="334" customFormat="false" ht="15" hidden="false" customHeight="false" outlineLevel="0" collapsed="false">
      <c r="A334" s="2" t="n">
        <v>45602</v>
      </c>
      <c r="B334" s="3" t="s">
        <v>334</v>
      </c>
      <c r="C334" s="3" t="s">
        <v>177</v>
      </c>
      <c r="D334" s="3" t="s">
        <v>178</v>
      </c>
      <c r="E334" s="3" t="s">
        <v>179</v>
      </c>
      <c r="F334" s="3" t="s">
        <v>180</v>
      </c>
      <c r="G334" s="3" t="s">
        <v>24</v>
      </c>
      <c r="H334" s="3" t="s">
        <v>30</v>
      </c>
      <c r="I334" s="3" t="s">
        <v>31</v>
      </c>
      <c r="J334" s="3" t="s">
        <v>32</v>
      </c>
      <c r="K334" s="3" t="s">
        <v>33</v>
      </c>
      <c r="L334" s="3" t="s">
        <v>181</v>
      </c>
      <c r="M334" s="3" t="s">
        <v>180</v>
      </c>
      <c r="N334" s="4" t="n">
        <v>12</v>
      </c>
      <c r="O334" s="5" t="n">
        <v>23.89</v>
      </c>
      <c r="P334" s="6" t="n">
        <v>0</v>
      </c>
      <c r="Q334" s="5" t="n">
        <f aca="false">N334*O334*(1-P334)</f>
        <v>286.68</v>
      </c>
      <c r="R334" s="5" t="n">
        <v>178.44</v>
      </c>
      <c r="S334" s="6" t="n">
        <f aca="false">IFERROR((Q334-R334)/Q334,0)</f>
        <v>0.377563834240268</v>
      </c>
    </row>
    <row r="335" customFormat="false" ht="15" hidden="false" customHeight="false" outlineLevel="0" collapsed="false">
      <c r="A335" s="2" t="n">
        <v>45602</v>
      </c>
      <c r="B335" s="3" t="s">
        <v>334</v>
      </c>
      <c r="C335" s="3" t="s">
        <v>177</v>
      </c>
      <c r="D335" s="3" t="s">
        <v>178</v>
      </c>
      <c r="E335" s="3" t="s">
        <v>179</v>
      </c>
      <c r="F335" s="3" t="s">
        <v>180</v>
      </c>
      <c r="G335" s="3" t="s">
        <v>24</v>
      </c>
      <c r="H335" s="3" t="s">
        <v>65</v>
      </c>
      <c r="I335" s="3" t="s">
        <v>66</v>
      </c>
      <c r="J335" s="3" t="s">
        <v>67</v>
      </c>
      <c r="K335" s="3" t="s">
        <v>68</v>
      </c>
      <c r="L335" s="3" t="s">
        <v>181</v>
      </c>
      <c r="M335" s="3" t="s">
        <v>180</v>
      </c>
      <c r="N335" s="4" t="n">
        <v>120</v>
      </c>
      <c r="O335" s="5" t="n">
        <v>28.62</v>
      </c>
      <c r="P335" s="6" t="n">
        <v>0</v>
      </c>
      <c r="Q335" s="5" t="n">
        <f aca="false">N335*O335*(1-P335)</f>
        <v>3434.4</v>
      </c>
      <c r="R335" s="5" t="n">
        <v>2026.47</v>
      </c>
      <c r="S335" s="6" t="n">
        <f aca="false">IFERROR((Q335-R335)/Q335,0)</f>
        <v>0.409949336128581</v>
      </c>
    </row>
    <row r="336" customFormat="false" ht="15" hidden="false" customHeight="false" outlineLevel="0" collapsed="false">
      <c r="A336" s="2" t="n">
        <v>45602</v>
      </c>
      <c r="B336" s="3" t="s">
        <v>334</v>
      </c>
      <c r="C336" s="3" t="s">
        <v>177</v>
      </c>
      <c r="D336" s="3" t="s">
        <v>178</v>
      </c>
      <c r="E336" s="3" t="s">
        <v>179</v>
      </c>
      <c r="F336" s="3" t="s">
        <v>180</v>
      </c>
      <c r="G336" s="3" t="s">
        <v>24</v>
      </c>
      <c r="H336" s="3" t="s">
        <v>112</v>
      </c>
      <c r="I336" s="3" t="s">
        <v>113</v>
      </c>
      <c r="J336" s="3" t="s">
        <v>67</v>
      </c>
      <c r="K336" s="3" t="s">
        <v>114</v>
      </c>
      <c r="L336" s="3" t="s">
        <v>181</v>
      </c>
      <c r="M336" s="3" t="s">
        <v>180</v>
      </c>
      <c r="N336" s="4" t="n">
        <v>6</v>
      </c>
      <c r="O336" s="5" t="n">
        <v>9.03</v>
      </c>
      <c r="P336" s="6" t="n">
        <v>0</v>
      </c>
      <c r="Q336" s="5" t="n">
        <f aca="false">N336*O336*(1-P336)</f>
        <v>54.18</v>
      </c>
      <c r="R336" s="5" t="n">
        <v>36.03</v>
      </c>
      <c r="S336" s="6" t="n">
        <f aca="false">IFERROR((Q336-R336)/Q336,0)</f>
        <v>0.33499446290144</v>
      </c>
    </row>
    <row r="337" customFormat="false" ht="15" hidden="false" customHeight="false" outlineLevel="0" collapsed="false">
      <c r="A337" s="2" t="n">
        <v>45602</v>
      </c>
      <c r="B337" s="3" t="s">
        <v>334</v>
      </c>
      <c r="C337" s="3" t="s">
        <v>177</v>
      </c>
      <c r="D337" s="3" t="s">
        <v>178</v>
      </c>
      <c r="E337" s="3" t="s">
        <v>179</v>
      </c>
      <c r="F337" s="3" t="s">
        <v>180</v>
      </c>
      <c r="G337" s="3" t="s">
        <v>24</v>
      </c>
      <c r="H337" s="3" t="s">
        <v>96</v>
      </c>
      <c r="I337" s="3" t="s">
        <v>97</v>
      </c>
      <c r="J337" s="3" t="s">
        <v>48</v>
      </c>
      <c r="K337" s="3" t="s">
        <v>75</v>
      </c>
      <c r="L337" s="3" t="s">
        <v>181</v>
      </c>
      <c r="M337" s="3" t="s">
        <v>180</v>
      </c>
      <c r="N337" s="4" t="n">
        <v>60</v>
      </c>
      <c r="O337" s="5" t="n">
        <v>7.92</v>
      </c>
      <c r="P337" s="6" t="n">
        <v>0</v>
      </c>
      <c r="Q337" s="5" t="n">
        <f aca="false">N337*O337*(1-P337)</f>
        <v>475.2</v>
      </c>
      <c r="R337" s="5" t="n">
        <v>288.21</v>
      </c>
      <c r="S337" s="6" t="n">
        <f aca="false">IFERROR((Q337-R337)/Q337,0)</f>
        <v>0.393497474747475</v>
      </c>
    </row>
    <row r="338" customFormat="false" ht="15" hidden="false" customHeight="false" outlineLevel="0" collapsed="false">
      <c r="A338" s="2" t="n">
        <v>45605</v>
      </c>
      <c r="B338" s="3" t="s">
        <v>335</v>
      </c>
      <c r="C338" s="3" t="s">
        <v>102</v>
      </c>
      <c r="D338" s="3" t="s">
        <v>103</v>
      </c>
      <c r="E338" s="3" t="s">
        <v>104</v>
      </c>
      <c r="F338" s="3" t="s">
        <v>105</v>
      </c>
      <c r="G338" s="3" t="s">
        <v>24</v>
      </c>
      <c r="H338" s="3" t="s">
        <v>132</v>
      </c>
      <c r="I338" s="3" t="s">
        <v>133</v>
      </c>
      <c r="J338" s="3" t="s">
        <v>27</v>
      </c>
      <c r="K338" s="3" t="s">
        <v>28</v>
      </c>
      <c r="L338" s="3" t="s">
        <v>106</v>
      </c>
      <c r="M338" s="3" t="s">
        <v>107</v>
      </c>
      <c r="N338" s="4" t="n">
        <v>60</v>
      </c>
      <c r="O338" s="5" t="n">
        <v>14.43</v>
      </c>
      <c r="P338" s="6" t="n">
        <v>0</v>
      </c>
      <c r="Q338" s="5" t="n">
        <f aca="false">N338*O338*(1-P338)</f>
        <v>865.8</v>
      </c>
      <c r="R338" s="5" t="n">
        <v>500.64</v>
      </c>
      <c r="S338" s="6" t="n">
        <f aca="false">IFERROR((Q338-R338)/Q338,0)</f>
        <v>0.421760221760222</v>
      </c>
    </row>
    <row r="339" customFormat="false" ht="15" hidden="false" customHeight="false" outlineLevel="0" collapsed="false">
      <c r="A339" s="2" t="n">
        <v>45611</v>
      </c>
      <c r="B339" s="3" t="s">
        <v>336</v>
      </c>
      <c r="C339" s="3" t="s">
        <v>209</v>
      </c>
      <c r="D339" s="3" t="s">
        <v>210</v>
      </c>
      <c r="E339" s="3" t="s">
        <v>211</v>
      </c>
      <c r="F339" s="3" t="s">
        <v>23</v>
      </c>
      <c r="G339" s="3" t="s">
        <v>95</v>
      </c>
      <c r="H339" s="3" t="s">
        <v>173</v>
      </c>
      <c r="I339" s="3" t="s">
        <v>174</v>
      </c>
      <c r="J339" s="3" t="s">
        <v>27</v>
      </c>
      <c r="K339" s="3" t="s">
        <v>175</v>
      </c>
      <c r="L339" s="3" t="s">
        <v>29</v>
      </c>
      <c r="M339" s="3" t="s">
        <v>23</v>
      </c>
      <c r="N339" s="4" t="n">
        <v>24</v>
      </c>
      <c r="O339" s="5" t="n">
        <v>17.63</v>
      </c>
      <c r="P339" s="6" t="n">
        <v>0.1</v>
      </c>
      <c r="Q339" s="5" t="n">
        <f aca="false">N339*O339*(1-P339)</f>
        <v>380.808</v>
      </c>
      <c r="R339" s="5" t="n">
        <v>263.39</v>
      </c>
      <c r="S339" s="6" t="n">
        <f aca="false">IFERROR((Q339-R339)/Q339,0)</f>
        <v>0.308339110522888</v>
      </c>
    </row>
    <row r="340" customFormat="false" ht="15" hidden="false" customHeight="false" outlineLevel="0" collapsed="false">
      <c r="A340" s="2" t="n">
        <v>45611</v>
      </c>
      <c r="B340" s="3" t="s">
        <v>336</v>
      </c>
      <c r="C340" s="3" t="s">
        <v>209</v>
      </c>
      <c r="D340" s="3" t="s">
        <v>210</v>
      </c>
      <c r="E340" s="3" t="s">
        <v>211</v>
      </c>
      <c r="F340" s="3" t="s">
        <v>23</v>
      </c>
      <c r="G340" s="3" t="s">
        <v>95</v>
      </c>
      <c r="H340" s="3" t="s">
        <v>84</v>
      </c>
      <c r="I340" s="3" t="s">
        <v>85</v>
      </c>
      <c r="J340" s="3" t="s">
        <v>56</v>
      </c>
      <c r="K340" s="3" t="s">
        <v>86</v>
      </c>
      <c r="L340" s="3" t="s">
        <v>29</v>
      </c>
      <c r="M340" s="3" t="s">
        <v>23</v>
      </c>
      <c r="N340" s="4" t="n">
        <v>60</v>
      </c>
      <c r="O340" s="5" t="n">
        <v>5.28</v>
      </c>
      <c r="P340" s="6" t="n">
        <v>0.05</v>
      </c>
      <c r="Q340" s="5" t="n">
        <f aca="false">N340*O340*(1-P340)</f>
        <v>300.96</v>
      </c>
      <c r="R340" s="5" t="n">
        <v>186.05</v>
      </c>
      <c r="S340" s="6" t="n">
        <f aca="false">IFERROR((Q340-R340)/Q340,0)</f>
        <v>0.3818115364168</v>
      </c>
    </row>
    <row r="341" customFormat="false" ht="15" hidden="false" customHeight="false" outlineLevel="0" collapsed="false">
      <c r="A341" s="2" t="n">
        <v>45611</v>
      </c>
      <c r="B341" s="3" t="s">
        <v>336</v>
      </c>
      <c r="C341" s="3" t="s">
        <v>209</v>
      </c>
      <c r="D341" s="3" t="s">
        <v>210</v>
      </c>
      <c r="E341" s="3" t="s">
        <v>211</v>
      </c>
      <c r="F341" s="3" t="s">
        <v>23</v>
      </c>
      <c r="G341" s="3" t="s">
        <v>95</v>
      </c>
      <c r="H341" s="3" t="s">
        <v>46</v>
      </c>
      <c r="I341" s="3" t="s">
        <v>47</v>
      </c>
      <c r="J341" s="3" t="s">
        <v>48</v>
      </c>
      <c r="K341" s="3" t="s">
        <v>49</v>
      </c>
      <c r="L341" s="3" t="s">
        <v>29</v>
      </c>
      <c r="M341" s="3" t="s">
        <v>23</v>
      </c>
      <c r="N341" s="4" t="n">
        <v>120</v>
      </c>
      <c r="O341" s="5" t="n">
        <v>14.35</v>
      </c>
      <c r="P341" s="6" t="n">
        <v>0.05</v>
      </c>
      <c r="Q341" s="5" t="n">
        <f aca="false">N341*O341*(1-P341)</f>
        <v>1635.9</v>
      </c>
      <c r="R341" s="5" t="n">
        <v>1142.97</v>
      </c>
      <c r="S341" s="6" t="n">
        <f aca="false">IFERROR((Q341-R341)/Q341,0)</f>
        <v>0.301320374105997</v>
      </c>
    </row>
    <row r="342" customFormat="false" ht="15" hidden="false" customHeight="false" outlineLevel="0" collapsed="false">
      <c r="A342" s="2" t="n">
        <v>45617</v>
      </c>
      <c r="B342" s="3" t="s">
        <v>337</v>
      </c>
      <c r="C342" s="3" t="s">
        <v>276</v>
      </c>
      <c r="D342" s="3" t="s">
        <v>277</v>
      </c>
      <c r="E342" s="3" t="s">
        <v>278</v>
      </c>
      <c r="F342" s="3" t="s">
        <v>38</v>
      </c>
      <c r="G342" s="3" t="s">
        <v>80</v>
      </c>
      <c r="H342" s="3" t="s">
        <v>222</v>
      </c>
      <c r="I342" s="3" t="s">
        <v>223</v>
      </c>
      <c r="J342" s="3" t="s">
        <v>67</v>
      </c>
      <c r="K342" s="3" t="s">
        <v>184</v>
      </c>
      <c r="L342" s="3" t="s">
        <v>40</v>
      </c>
      <c r="M342" s="3" t="s">
        <v>38</v>
      </c>
      <c r="N342" s="4" t="n">
        <v>60</v>
      </c>
      <c r="O342" s="5" t="n">
        <v>19.51</v>
      </c>
      <c r="P342" s="6" t="n">
        <v>0</v>
      </c>
      <c r="Q342" s="5" t="n">
        <f aca="false">N342*O342*(1-P342)</f>
        <v>1170.6</v>
      </c>
      <c r="R342" s="5" t="n">
        <v>693.01</v>
      </c>
      <c r="S342" s="6" t="n">
        <f aca="false">IFERROR((Q342-R342)/Q342,0)</f>
        <v>0.407987356910986</v>
      </c>
    </row>
    <row r="343" customFormat="false" ht="15" hidden="false" customHeight="false" outlineLevel="0" collapsed="false">
      <c r="A343" s="2" t="n">
        <v>45617</v>
      </c>
      <c r="B343" s="3" t="s">
        <v>337</v>
      </c>
      <c r="C343" s="3" t="s">
        <v>276</v>
      </c>
      <c r="D343" s="3" t="s">
        <v>277</v>
      </c>
      <c r="E343" s="3" t="s">
        <v>278</v>
      </c>
      <c r="F343" s="3" t="s">
        <v>38</v>
      </c>
      <c r="G343" s="3" t="s">
        <v>80</v>
      </c>
      <c r="H343" s="3" t="s">
        <v>108</v>
      </c>
      <c r="I343" s="3" t="s">
        <v>109</v>
      </c>
      <c r="J343" s="3" t="s">
        <v>48</v>
      </c>
      <c r="K343" s="3" t="s">
        <v>110</v>
      </c>
      <c r="L343" s="3" t="s">
        <v>40</v>
      </c>
      <c r="M343" s="3" t="s">
        <v>38</v>
      </c>
      <c r="N343" s="4" t="n">
        <v>48</v>
      </c>
      <c r="O343" s="5" t="n">
        <v>6.81</v>
      </c>
      <c r="P343" s="6" t="n">
        <v>0.05</v>
      </c>
      <c r="Q343" s="5" t="n">
        <f aca="false">N343*O343*(1-P343)</f>
        <v>310.536</v>
      </c>
      <c r="R343" s="5" t="n">
        <v>204.5</v>
      </c>
      <c r="S343" s="6" t="n">
        <f aca="false">IFERROR((Q343-R343)/Q343,0)</f>
        <v>0.34146121544684</v>
      </c>
    </row>
    <row r="344" customFormat="false" ht="15" hidden="false" customHeight="false" outlineLevel="0" collapsed="false">
      <c r="A344" s="2" t="n">
        <v>45617</v>
      </c>
      <c r="B344" s="3" t="s">
        <v>337</v>
      </c>
      <c r="C344" s="3" t="s">
        <v>276</v>
      </c>
      <c r="D344" s="3" t="s">
        <v>277</v>
      </c>
      <c r="E344" s="3" t="s">
        <v>278</v>
      </c>
      <c r="F344" s="3" t="s">
        <v>38</v>
      </c>
      <c r="G344" s="3" t="s">
        <v>80</v>
      </c>
      <c r="H344" s="3" t="s">
        <v>112</v>
      </c>
      <c r="I344" s="3" t="s">
        <v>113</v>
      </c>
      <c r="J344" s="3" t="s">
        <v>67</v>
      </c>
      <c r="K344" s="3" t="s">
        <v>114</v>
      </c>
      <c r="L344" s="3" t="s">
        <v>40</v>
      </c>
      <c r="M344" s="3" t="s">
        <v>38</v>
      </c>
      <c r="N344" s="4" t="n">
        <v>48</v>
      </c>
      <c r="O344" s="5" t="n">
        <v>10.09</v>
      </c>
      <c r="P344" s="6" t="n">
        <v>0</v>
      </c>
      <c r="Q344" s="5" t="n">
        <f aca="false">N344*O344*(1-P344)</f>
        <v>484.32</v>
      </c>
      <c r="R344" s="5" t="n">
        <v>280.13</v>
      </c>
      <c r="S344" s="6" t="n">
        <f aca="false">IFERROR((Q344-R344)/Q344,0)</f>
        <v>0.421601420548398</v>
      </c>
    </row>
    <row r="345" customFormat="false" ht="15" hidden="false" customHeight="false" outlineLevel="0" collapsed="false">
      <c r="A345" s="2" t="n">
        <v>45619</v>
      </c>
      <c r="B345" s="3" t="s">
        <v>338</v>
      </c>
      <c r="C345" s="3" t="s">
        <v>228</v>
      </c>
      <c r="D345" s="3" t="s">
        <v>124</v>
      </c>
      <c r="E345" s="3" t="s">
        <v>229</v>
      </c>
      <c r="F345" s="3" t="s">
        <v>45</v>
      </c>
      <c r="G345" s="3" t="s">
        <v>39</v>
      </c>
      <c r="H345" s="3" t="s">
        <v>96</v>
      </c>
      <c r="I345" s="3" t="s">
        <v>97</v>
      </c>
      <c r="J345" s="3" t="s">
        <v>48</v>
      </c>
      <c r="K345" s="3" t="s">
        <v>75</v>
      </c>
      <c r="L345" s="3" t="s">
        <v>50</v>
      </c>
      <c r="M345" s="3" t="s">
        <v>45</v>
      </c>
      <c r="N345" s="4" t="n">
        <v>6</v>
      </c>
      <c r="O345" s="5" t="n">
        <v>8.32</v>
      </c>
      <c r="P345" s="6" t="n">
        <v>0</v>
      </c>
      <c r="Q345" s="5" t="n">
        <f aca="false">N345*O345*(1-P345)</f>
        <v>49.92</v>
      </c>
      <c r="R345" s="5" t="n">
        <v>29.59</v>
      </c>
      <c r="S345" s="6" t="n">
        <f aca="false">IFERROR((Q345-R345)/Q345,0)</f>
        <v>0.407251602564103</v>
      </c>
    </row>
    <row r="346" customFormat="false" ht="15" hidden="false" customHeight="false" outlineLevel="0" collapsed="false">
      <c r="A346" s="2" t="n">
        <v>45619</v>
      </c>
      <c r="B346" s="3" t="s">
        <v>338</v>
      </c>
      <c r="C346" s="3" t="s">
        <v>228</v>
      </c>
      <c r="D346" s="3" t="s">
        <v>124</v>
      </c>
      <c r="E346" s="3" t="s">
        <v>229</v>
      </c>
      <c r="F346" s="3" t="s">
        <v>45</v>
      </c>
      <c r="G346" s="3" t="s">
        <v>39</v>
      </c>
      <c r="H346" s="3" t="s">
        <v>87</v>
      </c>
      <c r="I346" s="3" t="s">
        <v>88</v>
      </c>
      <c r="J346" s="3" t="s">
        <v>89</v>
      </c>
      <c r="K346" s="3" t="s">
        <v>90</v>
      </c>
      <c r="L346" s="3" t="s">
        <v>50</v>
      </c>
      <c r="M346" s="3" t="s">
        <v>45</v>
      </c>
      <c r="N346" s="4" t="n">
        <v>6</v>
      </c>
      <c r="O346" s="5" t="n">
        <v>15.31</v>
      </c>
      <c r="P346" s="6" t="n">
        <v>0</v>
      </c>
      <c r="Q346" s="5" t="n">
        <f aca="false">N346*O346*(1-P346)</f>
        <v>91.86</v>
      </c>
      <c r="R346" s="5" t="n">
        <v>60.4</v>
      </c>
      <c r="S346" s="6" t="n">
        <f aca="false">IFERROR((Q346-R346)/Q346,0)</f>
        <v>0.342477683431309</v>
      </c>
    </row>
    <row r="347" customFormat="false" ht="15" hidden="false" customHeight="false" outlineLevel="0" collapsed="false">
      <c r="A347" s="2" t="n">
        <v>45619</v>
      </c>
      <c r="B347" s="3" t="s">
        <v>338</v>
      </c>
      <c r="C347" s="3" t="s">
        <v>228</v>
      </c>
      <c r="D347" s="3" t="s">
        <v>124</v>
      </c>
      <c r="E347" s="3" t="s">
        <v>229</v>
      </c>
      <c r="F347" s="3" t="s">
        <v>45</v>
      </c>
      <c r="G347" s="3" t="s">
        <v>39</v>
      </c>
      <c r="H347" s="3" t="s">
        <v>54</v>
      </c>
      <c r="I347" s="3" t="s">
        <v>55</v>
      </c>
      <c r="J347" s="3" t="s">
        <v>56</v>
      </c>
      <c r="K347" s="3" t="s">
        <v>57</v>
      </c>
      <c r="L347" s="3" t="s">
        <v>50</v>
      </c>
      <c r="M347" s="3" t="s">
        <v>45</v>
      </c>
      <c r="N347" s="4" t="n">
        <v>60</v>
      </c>
      <c r="O347" s="5" t="n">
        <v>4.78</v>
      </c>
      <c r="P347" s="6" t="n">
        <v>0</v>
      </c>
      <c r="Q347" s="5" t="n">
        <f aca="false">N347*O347*(1-P347)</f>
        <v>286.8</v>
      </c>
      <c r="R347" s="5" t="n">
        <v>171.95</v>
      </c>
      <c r="S347" s="6" t="n">
        <f aca="false">IFERROR((Q347-R347)/Q347,0)</f>
        <v>0.400453277545328</v>
      </c>
    </row>
    <row r="348" customFormat="false" ht="15" hidden="false" customHeight="false" outlineLevel="0" collapsed="false">
      <c r="A348" s="2" t="n">
        <v>45624</v>
      </c>
      <c r="B348" s="3" t="s">
        <v>339</v>
      </c>
      <c r="C348" s="3" t="s">
        <v>42</v>
      </c>
      <c r="D348" s="3" t="s">
        <v>43</v>
      </c>
      <c r="E348" s="3" t="s">
        <v>44</v>
      </c>
      <c r="F348" s="3" t="s">
        <v>45</v>
      </c>
      <c r="G348" s="3" t="s">
        <v>24</v>
      </c>
      <c r="H348" s="3" t="s">
        <v>189</v>
      </c>
      <c r="I348" s="3" t="s">
        <v>190</v>
      </c>
      <c r="J348" s="3" t="s">
        <v>27</v>
      </c>
      <c r="K348" s="3" t="s">
        <v>149</v>
      </c>
      <c r="L348" s="3" t="s">
        <v>50</v>
      </c>
      <c r="M348" s="3" t="s">
        <v>45</v>
      </c>
      <c r="N348" s="4" t="n">
        <v>60</v>
      </c>
      <c r="O348" s="5" t="n">
        <v>10.13</v>
      </c>
      <c r="P348" s="6" t="n">
        <v>0.1</v>
      </c>
      <c r="Q348" s="5" t="n">
        <f aca="false">N348*O348*(1-P348)</f>
        <v>547.02</v>
      </c>
      <c r="R348" s="5" t="n">
        <v>350.73</v>
      </c>
      <c r="S348" s="6" t="n">
        <f aca="false">IFERROR((Q348-R348)/Q348,0)</f>
        <v>0.358835143139191</v>
      </c>
    </row>
    <row r="349" customFormat="false" ht="15" hidden="false" customHeight="false" outlineLevel="0" collapsed="false">
      <c r="A349" s="2" t="n">
        <v>45624</v>
      </c>
      <c r="B349" s="3" t="s">
        <v>339</v>
      </c>
      <c r="C349" s="3" t="s">
        <v>42</v>
      </c>
      <c r="D349" s="3" t="s">
        <v>43</v>
      </c>
      <c r="E349" s="3" t="s">
        <v>44</v>
      </c>
      <c r="F349" s="3" t="s">
        <v>45</v>
      </c>
      <c r="G349" s="3" t="s">
        <v>24</v>
      </c>
      <c r="H349" s="3" t="s">
        <v>182</v>
      </c>
      <c r="I349" s="3" t="s">
        <v>183</v>
      </c>
      <c r="J349" s="3" t="s">
        <v>67</v>
      </c>
      <c r="K349" s="3" t="s">
        <v>184</v>
      </c>
      <c r="L349" s="3" t="s">
        <v>50</v>
      </c>
      <c r="M349" s="3" t="s">
        <v>45</v>
      </c>
      <c r="N349" s="4" t="n">
        <v>120</v>
      </c>
      <c r="O349" s="5" t="n">
        <v>12.4</v>
      </c>
      <c r="P349" s="6" t="n">
        <v>0</v>
      </c>
      <c r="Q349" s="5" t="n">
        <f aca="false">N349*O349*(1-P349)</f>
        <v>1488</v>
      </c>
      <c r="R349" s="5" t="n">
        <v>951.2</v>
      </c>
      <c r="S349" s="6" t="n">
        <f aca="false">IFERROR((Q349-R349)/Q349,0)</f>
        <v>0.360752688172043</v>
      </c>
    </row>
    <row r="350" customFormat="false" ht="15" hidden="false" customHeight="false" outlineLevel="0" collapsed="false">
      <c r="A350" s="2" t="n">
        <v>45624</v>
      </c>
      <c r="B350" s="3" t="s">
        <v>339</v>
      </c>
      <c r="C350" s="3" t="s">
        <v>42</v>
      </c>
      <c r="D350" s="3" t="s">
        <v>43</v>
      </c>
      <c r="E350" s="3" t="s">
        <v>44</v>
      </c>
      <c r="F350" s="3" t="s">
        <v>45</v>
      </c>
      <c r="G350" s="3" t="s">
        <v>24</v>
      </c>
      <c r="H350" s="3" t="s">
        <v>158</v>
      </c>
      <c r="I350" s="3" t="s">
        <v>159</v>
      </c>
      <c r="J350" s="3" t="s">
        <v>27</v>
      </c>
      <c r="K350" s="3" t="s">
        <v>149</v>
      </c>
      <c r="L350" s="3" t="s">
        <v>50</v>
      </c>
      <c r="M350" s="3" t="s">
        <v>45</v>
      </c>
      <c r="N350" s="4" t="n">
        <v>48</v>
      </c>
      <c r="O350" s="5" t="n">
        <v>7.59</v>
      </c>
      <c r="P350" s="6" t="n">
        <v>0.15</v>
      </c>
      <c r="Q350" s="5" t="n">
        <f aca="false">N350*O350*(1-P350)</f>
        <v>309.672</v>
      </c>
      <c r="R350" s="5" t="n">
        <v>219.8</v>
      </c>
      <c r="S350" s="6" t="n">
        <f aca="false">IFERROR((Q350-R350)/Q350,0)</f>
        <v>0.290216745459712</v>
      </c>
    </row>
    <row r="351" customFormat="false" ht="15" hidden="false" customHeight="false" outlineLevel="0" collapsed="false">
      <c r="A351" s="2" t="n">
        <v>45626</v>
      </c>
      <c r="B351" s="3" t="s">
        <v>340</v>
      </c>
      <c r="C351" s="3" t="s">
        <v>92</v>
      </c>
      <c r="D351" s="3" t="s">
        <v>93</v>
      </c>
      <c r="E351" s="3" t="s">
        <v>94</v>
      </c>
      <c r="F351" s="3" t="s">
        <v>45</v>
      </c>
      <c r="G351" s="3" t="s">
        <v>95</v>
      </c>
      <c r="H351" s="3" t="s">
        <v>158</v>
      </c>
      <c r="I351" s="3" t="s">
        <v>159</v>
      </c>
      <c r="J351" s="3" t="s">
        <v>27</v>
      </c>
      <c r="K351" s="3" t="s">
        <v>149</v>
      </c>
      <c r="L351" s="3" t="s">
        <v>50</v>
      </c>
      <c r="M351" s="3" t="s">
        <v>45</v>
      </c>
      <c r="N351" s="4" t="n">
        <v>96</v>
      </c>
      <c r="O351" s="5" t="n">
        <v>7.46</v>
      </c>
      <c r="P351" s="6" t="n">
        <v>0</v>
      </c>
      <c r="Q351" s="5" t="n">
        <f aca="false">N351*O351*(1-P351)</f>
        <v>716.16</v>
      </c>
      <c r="R351" s="5" t="n">
        <v>427.66</v>
      </c>
      <c r="S351" s="6" t="n">
        <f aca="false">IFERROR((Q351-R351)/Q351,0)</f>
        <v>0.402842940125112</v>
      </c>
    </row>
    <row r="352" customFormat="false" ht="15" hidden="false" customHeight="false" outlineLevel="0" collapsed="false">
      <c r="A352" s="2" t="n">
        <v>45627</v>
      </c>
      <c r="B352" s="3" t="s">
        <v>341</v>
      </c>
      <c r="C352" s="3" t="s">
        <v>276</v>
      </c>
      <c r="D352" s="3" t="s">
        <v>277</v>
      </c>
      <c r="E352" s="3" t="s">
        <v>278</v>
      </c>
      <c r="F352" s="3" t="s">
        <v>38</v>
      </c>
      <c r="G352" s="3" t="s">
        <v>80</v>
      </c>
      <c r="H352" s="3" t="s">
        <v>81</v>
      </c>
      <c r="I352" s="3" t="s">
        <v>82</v>
      </c>
      <c r="J352" s="3" t="s">
        <v>32</v>
      </c>
      <c r="K352" s="3" t="s">
        <v>83</v>
      </c>
      <c r="L352" s="3" t="s">
        <v>40</v>
      </c>
      <c r="M352" s="3" t="s">
        <v>38</v>
      </c>
      <c r="N352" s="4" t="n">
        <v>12</v>
      </c>
      <c r="O352" s="5" t="n">
        <v>22.46</v>
      </c>
      <c r="P352" s="6" t="n">
        <v>0</v>
      </c>
      <c r="Q352" s="5" t="n">
        <f aca="false">N352*O352*(1-P352)</f>
        <v>269.52</v>
      </c>
      <c r="R352" s="5" t="n">
        <v>156.35</v>
      </c>
      <c r="S352" s="6" t="n">
        <f aca="false">IFERROR((Q352-R352)/Q352,0)</f>
        <v>0.419894627485901</v>
      </c>
    </row>
    <row r="353" customFormat="false" ht="15" hidden="false" customHeight="false" outlineLevel="0" collapsed="false">
      <c r="A353" s="2" t="n">
        <v>45627</v>
      </c>
      <c r="B353" s="3" t="s">
        <v>342</v>
      </c>
      <c r="C353" s="3" t="s">
        <v>35</v>
      </c>
      <c r="D353" s="3" t="s">
        <v>36</v>
      </c>
      <c r="E353" s="3" t="s">
        <v>37</v>
      </c>
      <c r="F353" s="3" t="s">
        <v>38</v>
      </c>
      <c r="G353" s="3" t="s">
        <v>39</v>
      </c>
      <c r="H353" s="3" t="s">
        <v>65</v>
      </c>
      <c r="I353" s="3" t="s">
        <v>66</v>
      </c>
      <c r="J353" s="3" t="s">
        <v>67</v>
      </c>
      <c r="K353" s="3" t="s">
        <v>68</v>
      </c>
      <c r="L353" s="3" t="s">
        <v>40</v>
      </c>
      <c r="M353" s="3" t="s">
        <v>38</v>
      </c>
      <c r="N353" s="4" t="n">
        <v>120</v>
      </c>
      <c r="O353" s="5" t="n">
        <v>30.63</v>
      </c>
      <c r="P353" s="6" t="n">
        <v>0.1</v>
      </c>
      <c r="Q353" s="5" t="n">
        <f aca="false">N353*O353*(1-P353)</f>
        <v>3308.04</v>
      </c>
      <c r="R353" s="5" t="n">
        <v>2060.77</v>
      </c>
      <c r="S353" s="6" t="n">
        <f aca="false">IFERROR((Q353-R353)/Q353,0)</f>
        <v>0.377041994655446</v>
      </c>
    </row>
    <row r="354" customFormat="false" ht="15" hidden="false" customHeight="false" outlineLevel="0" collapsed="false">
      <c r="A354" s="2" t="n">
        <v>45627</v>
      </c>
      <c r="B354" s="3" t="s">
        <v>342</v>
      </c>
      <c r="C354" s="3" t="s">
        <v>35</v>
      </c>
      <c r="D354" s="3" t="s">
        <v>36</v>
      </c>
      <c r="E354" s="3" t="s">
        <v>37</v>
      </c>
      <c r="F354" s="3" t="s">
        <v>38</v>
      </c>
      <c r="G354" s="3" t="s">
        <v>39</v>
      </c>
      <c r="H354" s="3" t="s">
        <v>96</v>
      </c>
      <c r="I354" s="3" t="s">
        <v>97</v>
      </c>
      <c r="J354" s="3" t="s">
        <v>48</v>
      </c>
      <c r="K354" s="3" t="s">
        <v>75</v>
      </c>
      <c r="L354" s="3" t="s">
        <v>40</v>
      </c>
      <c r="M354" s="3" t="s">
        <v>38</v>
      </c>
      <c r="N354" s="4" t="n">
        <v>72</v>
      </c>
      <c r="O354" s="5" t="n">
        <v>7.77</v>
      </c>
      <c r="P354" s="6" t="n">
        <v>0.15</v>
      </c>
      <c r="Q354" s="5" t="n">
        <f aca="false">N354*O354*(1-P354)</f>
        <v>475.524</v>
      </c>
      <c r="R354" s="5" t="n">
        <v>352.64</v>
      </c>
      <c r="S354" s="6" t="n">
        <f aca="false">IFERROR((Q354-R354)/Q354,0)</f>
        <v>0.258418081947494</v>
      </c>
    </row>
    <row r="355" customFormat="false" ht="15" hidden="false" customHeight="false" outlineLevel="0" collapsed="false">
      <c r="A355" s="2" t="n">
        <v>45627</v>
      </c>
      <c r="B355" s="3" t="s">
        <v>342</v>
      </c>
      <c r="C355" s="3" t="s">
        <v>35</v>
      </c>
      <c r="D355" s="3" t="s">
        <v>36</v>
      </c>
      <c r="E355" s="3" t="s">
        <v>37</v>
      </c>
      <c r="F355" s="3" t="s">
        <v>38</v>
      </c>
      <c r="G355" s="3" t="s">
        <v>39</v>
      </c>
      <c r="H355" s="3" t="s">
        <v>51</v>
      </c>
      <c r="I355" s="3" t="s">
        <v>52</v>
      </c>
      <c r="J355" s="3" t="s">
        <v>27</v>
      </c>
      <c r="K355" s="3" t="s">
        <v>53</v>
      </c>
      <c r="L355" s="3" t="s">
        <v>40</v>
      </c>
      <c r="M355" s="3" t="s">
        <v>38</v>
      </c>
      <c r="N355" s="4" t="n">
        <v>6</v>
      </c>
      <c r="O355" s="5" t="n">
        <v>22.59</v>
      </c>
      <c r="P355" s="6" t="n">
        <v>0</v>
      </c>
      <c r="Q355" s="5" t="n">
        <f aca="false">N355*O355*(1-P355)</f>
        <v>135.54</v>
      </c>
      <c r="R355" s="5" t="n">
        <v>85.5</v>
      </c>
      <c r="S355" s="6" t="n">
        <f aca="false">IFERROR((Q355-R355)/Q355,0)</f>
        <v>0.369189907038513</v>
      </c>
    </row>
    <row r="356" customFormat="false" ht="15" hidden="false" customHeight="false" outlineLevel="0" collapsed="false">
      <c r="A356" s="2" t="n">
        <v>45630</v>
      </c>
      <c r="B356" s="3" t="s">
        <v>343</v>
      </c>
      <c r="C356" s="3" t="s">
        <v>123</v>
      </c>
      <c r="D356" s="3" t="s">
        <v>124</v>
      </c>
      <c r="E356" s="3" t="s">
        <v>125</v>
      </c>
      <c r="F356" s="3" t="s">
        <v>38</v>
      </c>
      <c r="G356" s="3" t="s">
        <v>39</v>
      </c>
      <c r="H356" s="3" t="s">
        <v>132</v>
      </c>
      <c r="I356" s="3" t="s">
        <v>133</v>
      </c>
      <c r="J356" s="3" t="s">
        <v>27</v>
      </c>
      <c r="K356" s="3" t="s">
        <v>28</v>
      </c>
      <c r="L356" s="3" t="s">
        <v>40</v>
      </c>
      <c r="M356" s="3" t="s">
        <v>38</v>
      </c>
      <c r="N356" s="4" t="n">
        <v>60</v>
      </c>
      <c r="O356" s="5" t="n">
        <v>13.77</v>
      </c>
      <c r="P356" s="6" t="n">
        <v>0</v>
      </c>
      <c r="Q356" s="5" t="n">
        <f aca="false">N356*O356*(1-P356)</f>
        <v>826.2</v>
      </c>
      <c r="R356" s="5" t="n">
        <v>490.4</v>
      </c>
      <c r="S356" s="6" t="n">
        <f aca="false">IFERROR((Q356-R356)/Q356,0)</f>
        <v>0.40643911885742</v>
      </c>
    </row>
    <row r="357" customFormat="false" ht="15" hidden="false" customHeight="false" outlineLevel="0" collapsed="false">
      <c r="A357" s="2" t="n">
        <v>45635</v>
      </c>
      <c r="B357" s="3" t="s">
        <v>344</v>
      </c>
      <c r="C357" s="3" t="s">
        <v>77</v>
      </c>
      <c r="D357" s="3" t="s">
        <v>78</v>
      </c>
      <c r="E357" s="3" t="s">
        <v>79</v>
      </c>
      <c r="F357" s="3" t="s">
        <v>45</v>
      </c>
      <c r="G357" s="3" t="s">
        <v>80</v>
      </c>
      <c r="H357" s="3" t="s">
        <v>173</v>
      </c>
      <c r="I357" s="3" t="s">
        <v>174</v>
      </c>
      <c r="J357" s="3" t="s">
        <v>27</v>
      </c>
      <c r="K357" s="3" t="s">
        <v>175</v>
      </c>
      <c r="L357" s="3" t="s">
        <v>50</v>
      </c>
      <c r="M357" s="3" t="s">
        <v>45</v>
      </c>
      <c r="N357" s="4" t="n">
        <v>24</v>
      </c>
      <c r="O357" s="5" t="n">
        <v>17.32</v>
      </c>
      <c r="P357" s="6" t="n">
        <v>0.1</v>
      </c>
      <c r="Q357" s="5" t="n">
        <f aca="false">N357*O357*(1-P357)</f>
        <v>374.112</v>
      </c>
      <c r="R357" s="5" t="n">
        <v>261.76</v>
      </c>
      <c r="S357" s="6" t="n">
        <f aca="false">IFERROR((Q357-R357)/Q357,0)</f>
        <v>0.30031648276452</v>
      </c>
    </row>
    <row r="358" customFormat="false" ht="15" hidden="false" customHeight="false" outlineLevel="0" collapsed="false">
      <c r="A358" s="2" t="n">
        <v>45635</v>
      </c>
      <c r="B358" s="3" t="s">
        <v>345</v>
      </c>
      <c r="C358" s="3" t="s">
        <v>116</v>
      </c>
      <c r="D358" s="3" t="s">
        <v>117</v>
      </c>
      <c r="E358" s="3" t="s">
        <v>118</v>
      </c>
      <c r="F358" s="3" t="s">
        <v>45</v>
      </c>
      <c r="G358" s="3" t="s">
        <v>39</v>
      </c>
      <c r="H358" s="3" t="s">
        <v>84</v>
      </c>
      <c r="I358" s="3" t="s">
        <v>85</v>
      </c>
      <c r="J358" s="3" t="s">
        <v>56</v>
      </c>
      <c r="K358" s="3" t="s">
        <v>86</v>
      </c>
      <c r="L358" s="3" t="s">
        <v>50</v>
      </c>
      <c r="M358" s="3" t="s">
        <v>45</v>
      </c>
      <c r="N358" s="4" t="n">
        <v>96</v>
      </c>
      <c r="O358" s="5" t="n">
        <v>5.21</v>
      </c>
      <c r="P358" s="6" t="n">
        <v>0</v>
      </c>
      <c r="Q358" s="5" t="n">
        <f aca="false">N358*O358*(1-P358)</f>
        <v>500.16</v>
      </c>
      <c r="R358" s="5" t="n">
        <v>295.96</v>
      </c>
      <c r="S358" s="6" t="n">
        <f aca="false">IFERROR((Q358-R358)/Q358,0)</f>
        <v>0.408269353806782</v>
      </c>
    </row>
    <row r="359" customFormat="false" ht="15" hidden="false" customHeight="false" outlineLevel="0" collapsed="false">
      <c r="A359" s="2" t="n">
        <v>45635</v>
      </c>
      <c r="B359" s="3" t="s">
        <v>346</v>
      </c>
      <c r="C359" s="3" t="s">
        <v>201</v>
      </c>
      <c r="D359" s="3" t="s">
        <v>202</v>
      </c>
      <c r="E359" s="3" t="s">
        <v>203</v>
      </c>
      <c r="F359" s="3" t="s">
        <v>170</v>
      </c>
      <c r="G359" s="3" t="s">
        <v>24</v>
      </c>
      <c r="H359" s="3" t="s">
        <v>189</v>
      </c>
      <c r="I359" s="3" t="s">
        <v>190</v>
      </c>
      <c r="J359" s="3" t="s">
        <v>27</v>
      </c>
      <c r="K359" s="3" t="s">
        <v>149</v>
      </c>
      <c r="L359" s="3" t="s">
        <v>106</v>
      </c>
      <c r="M359" s="3" t="s">
        <v>107</v>
      </c>
      <c r="N359" s="4" t="n">
        <v>96</v>
      </c>
      <c r="O359" s="5" t="n">
        <v>9.36</v>
      </c>
      <c r="P359" s="6" t="n">
        <v>0</v>
      </c>
      <c r="Q359" s="5" t="n">
        <f aca="false">N359*O359*(1-P359)</f>
        <v>898.56</v>
      </c>
      <c r="R359" s="5" t="n">
        <v>554.05</v>
      </c>
      <c r="S359" s="6" t="n">
        <f aca="false">IFERROR((Q359-R359)/Q359,0)</f>
        <v>0.383402332621083</v>
      </c>
    </row>
    <row r="360" customFormat="false" ht="15" hidden="false" customHeight="false" outlineLevel="0" collapsed="false">
      <c r="A360" s="2" t="n">
        <v>45635</v>
      </c>
      <c r="B360" s="3" t="s">
        <v>346</v>
      </c>
      <c r="C360" s="3" t="s">
        <v>201</v>
      </c>
      <c r="D360" s="3" t="s">
        <v>202</v>
      </c>
      <c r="E360" s="3" t="s">
        <v>203</v>
      </c>
      <c r="F360" s="3" t="s">
        <v>170</v>
      </c>
      <c r="G360" s="3" t="s">
        <v>24</v>
      </c>
      <c r="H360" s="3" t="s">
        <v>141</v>
      </c>
      <c r="I360" s="3" t="s">
        <v>142</v>
      </c>
      <c r="J360" s="3" t="s">
        <v>89</v>
      </c>
      <c r="K360" s="3" t="s">
        <v>100</v>
      </c>
      <c r="L360" s="3" t="s">
        <v>106</v>
      </c>
      <c r="M360" s="3" t="s">
        <v>107</v>
      </c>
      <c r="N360" s="4" t="n">
        <v>120</v>
      </c>
      <c r="O360" s="5" t="n">
        <v>18.98</v>
      </c>
      <c r="P360" s="6" t="n">
        <v>0</v>
      </c>
      <c r="Q360" s="5" t="n">
        <f aca="false">N360*O360*(1-P360)</f>
        <v>2277.6</v>
      </c>
      <c r="R360" s="5" t="n">
        <v>1452.33</v>
      </c>
      <c r="S360" s="6" t="n">
        <f aca="false">IFERROR((Q360-R360)/Q360,0)</f>
        <v>0.362341938883035</v>
      </c>
    </row>
    <row r="361" customFormat="false" ht="15" hidden="false" customHeight="false" outlineLevel="0" collapsed="false">
      <c r="A361" s="2" t="n">
        <v>45635</v>
      </c>
      <c r="B361" s="3" t="s">
        <v>346</v>
      </c>
      <c r="C361" s="3" t="s">
        <v>201</v>
      </c>
      <c r="D361" s="3" t="s">
        <v>202</v>
      </c>
      <c r="E361" s="3" t="s">
        <v>203</v>
      </c>
      <c r="F361" s="3" t="s">
        <v>170</v>
      </c>
      <c r="G361" s="3" t="s">
        <v>24</v>
      </c>
      <c r="H361" s="3" t="s">
        <v>46</v>
      </c>
      <c r="I361" s="3" t="s">
        <v>47</v>
      </c>
      <c r="J361" s="3" t="s">
        <v>48</v>
      </c>
      <c r="K361" s="3" t="s">
        <v>49</v>
      </c>
      <c r="L361" s="3" t="s">
        <v>106</v>
      </c>
      <c r="M361" s="3" t="s">
        <v>107</v>
      </c>
      <c r="N361" s="4" t="n">
        <v>120</v>
      </c>
      <c r="O361" s="5" t="n">
        <v>16.53</v>
      </c>
      <c r="P361" s="6" t="n">
        <v>0.15</v>
      </c>
      <c r="Q361" s="5" t="n">
        <f aca="false">N361*O361*(1-P361)</f>
        <v>1686.06</v>
      </c>
      <c r="R361" s="5" t="n">
        <v>1124.06</v>
      </c>
      <c r="S361" s="6" t="n">
        <f aca="false">IFERROR((Q361-R361)/Q361,0)</f>
        <v>0.333321471359264</v>
      </c>
    </row>
    <row r="362" customFormat="false" ht="15" hidden="false" customHeight="false" outlineLevel="0" collapsed="false">
      <c r="A362" s="2" t="n">
        <v>45635</v>
      </c>
      <c r="B362" s="3" t="s">
        <v>346</v>
      </c>
      <c r="C362" s="3" t="s">
        <v>201</v>
      </c>
      <c r="D362" s="3" t="s">
        <v>202</v>
      </c>
      <c r="E362" s="3" t="s">
        <v>203</v>
      </c>
      <c r="F362" s="3" t="s">
        <v>170</v>
      </c>
      <c r="G362" s="3" t="s">
        <v>24</v>
      </c>
      <c r="H362" s="3" t="s">
        <v>25</v>
      </c>
      <c r="I362" s="3" t="s">
        <v>26</v>
      </c>
      <c r="J362" s="3" t="s">
        <v>27</v>
      </c>
      <c r="K362" s="3" t="s">
        <v>28</v>
      </c>
      <c r="L362" s="3" t="s">
        <v>106</v>
      </c>
      <c r="M362" s="3" t="s">
        <v>107</v>
      </c>
      <c r="N362" s="4" t="n">
        <v>24</v>
      </c>
      <c r="O362" s="5" t="n">
        <v>6.68</v>
      </c>
      <c r="P362" s="6" t="n">
        <v>0</v>
      </c>
      <c r="Q362" s="5" t="n">
        <f aca="false">N362*O362*(1-P362)</f>
        <v>160.32</v>
      </c>
      <c r="R362" s="5" t="n">
        <v>97.23</v>
      </c>
      <c r="S362" s="6" t="n">
        <f aca="false">IFERROR((Q362-R362)/Q362,0)</f>
        <v>0.393525449101796</v>
      </c>
    </row>
    <row r="363" customFormat="false" ht="15" hidden="false" customHeight="false" outlineLevel="0" collapsed="false">
      <c r="A363" s="2" t="n">
        <v>45638</v>
      </c>
      <c r="B363" s="3" t="s">
        <v>347</v>
      </c>
      <c r="C363" s="3" t="s">
        <v>155</v>
      </c>
      <c r="D363" s="3" t="s">
        <v>156</v>
      </c>
      <c r="E363" s="3" t="s">
        <v>157</v>
      </c>
      <c r="F363" s="3" t="s">
        <v>38</v>
      </c>
      <c r="G363" s="3" t="s">
        <v>39</v>
      </c>
      <c r="H363" s="3" t="s">
        <v>138</v>
      </c>
      <c r="I363" s="3" t="s">
        <v>139</v>
      </c>
      <c r="J363" s="3" t="s">
        <v>27</v>
      </c>
      <c r="K363" s="3" t="s">
        <v>140</v>
      </c>
      <c r="L363" s="3" t="s">
        <v>40</v>
      </c>
      <c r="M363" s="3" t="s">
        <v>38</v>
      </c>
      <c r="N363" s="4" t="n">
        <v>72</v>
      </c>
      <c r="O363" s="5" t="n">
        <v>4.1</v>
      </c>
      <c r="P363" s="6" t="n">
        <v>0</v>
      </c>
      <c r="Q363" s="5" t="n">
        <f aca="false">N363*O363*(1-P363)</f>
        <v>295.2</v>
      </c>
      <c r="R363" s="5" t="n">
        <v>166.52</v>
      </c>
      <c r="S363" s="6" t="n">
        <f aca="false">IFERROR((Q363-R363)/Q363,0)</f>
        <v>0.435907859078591</v>
      </c>
    </row>
    <row r="364" customFormat="false" ht="15" hidden="false" customHeight="false" outlineLevel="0" collapsed="false">
      <c r="A364" s="2" t="n">
        <v>45638</v>
      </c>
      <c r="B364" s="3" t="s">
        <v>347</v>
      </c>
      <c r="C364" s="3" t="s">
        <v>155</v>
      </c>
      <c r="D364" s="3" t="s">
        <v>156</v>
      </c>
      <c r="E364" s="3" t="s">
        <v>157</v>
      </c>
      <c r="F364" s="3" t="s">
        <v>38</v>
      </c>
      <c r="G364" s="3" t="s">
        <v>39</v>
      </c>
      <c r="H364" s="3" t="s">
        <v>145</v>
      </c>
      <c r="I364" s="3" t="s">
        <v>146</v>
      </c>
      <c r="J364" s="3" t="s">
        <v>32</v>
      </c>
      <c r="K364" s="3" t="s">
        <v>33</v>
      </c>
      <c r="L364" s="3" t="s">
        <v>40</v>
      </c>
      <c r="M364" s="3" t="s">
        <v>38</v>
      </c>
      <c r="N364" s="4" t="n">
        <v>60</v>
      </c>
      <c r="O364" s="5" t="n">
        <v>18.77</v>
      </c>
      <c r="P364" s="6" t="n">
        <v>0</v>
      </c>
      <c r="Q364" s="5" t="n">
        <f aca="false">N364*O364*(1-P364)</f>
        <v>1126.2</v>
      </c>
      <c r="R364" s="5" t="n">
        <v>681.7</v>
      </c>
      <c r="S364" s="6" t="n">
        <f aca="false">IFERROR((Q364-R364)/Q364,0)</f>
        <v>0.394690108328894</v>
      </c>
    </row>
    <row r="365" customFormat="false" ht="15" hidden="false" customHeight="false" outlineLevel="0" collapsed="false">
      <c r="A365" s="2" t="n">
        <v>45638</v>
      </c>
      <c r="B365" s="3" t="s">
        <v>348</v>
      </c>
      <c r="C365" s="3" t="s">
        <v>35</v>
      </c>
      <c r="D365" s="3" t="s">
        <v>36</v>
      </c>
      <c r="E365" s="3" t="s">
        <v>37</v>
      </c>
      <c r="F365" s="3" t="s">
        <v>38</v>
      </c>
      <c r="G365" s="3" t="s">
        <v>39</v>
      </c>
      <c r="H365" s="3" t="s">
        <v>164</v>
      </c>
      <c r="I365" s="3" t="s">
        <v>165</v>
      </c>
      <c r="J365" s="3" t="s">
        <v>32</v>
      </c>
      <c r="K365" s="3" t="s">
        <v>60</v>
      </c>
      <c r="L365" s="3" t="s">
        <v>40</v>
      </c>
      <c r="M365" s="3" t="s">
        <v>38</v>
      </c>
      <c r="N365" s="4" t="n">
        <v>60</v>
      </c>
      <c r="O365" s="5" t="n">
        <v>14.8</v>
      </c>
      <c r="P365" s="6" t="n">
        <v>0.05</v>
      </c>
      <c r="Q365" s="5" t="n">
        <f aca="false">N365*O365*(1-P365)</f>
        <v>843.6</v>
      </c>
      <c r="R365" s="5" t="n">
        <v>526.99</v>
      </c>
      <c r="S365" s="6" t="n">
        <f aca="false">IFERROR((Q365-R365)/Q365,0)</f>
        <v>0.375308202939782</v>
      </c>
    </row>
    <row r="366" customFormat="false" ht="15" hidden="false" customHeight="false" outlineLevel="0" collapsed="false">
      <c r="A366" s="2" t="n">
        <v>45638</v>
      </c>
      <c r="B366" s="3" t="s">
        <v>348</v>
      </c>
      <c r="C366" s="3" t="s">
        <v>35</v>
      </c>
      <c r="D366" s="3" t="s">
        <v>36</v>
      </c>
      <c r="E366" s="3" t="s">
        <v>37</v>
      </c>
      <c r="F366" s="3" t="s">
        <v>38</v>
      </c>
      <c r="G366" s="3" t="s">
        <v>39</v>
      </c>
      <c r="H366" s="3" t="s">
        <v>182</v>
      </c>
      <c r="I366" s="3" t="s">
        <v>183</v>
      </c>
      <c r="J366" s="3" t="s">
        <v>67</v>
      </c>
      <c r="K366" s="3" t="s">
        <v>184</v>
      </c>
      <c r="L366" s="3" t="s">
        <v>40</v>
      </c>
      <c r="M366" s="3" t="s">
        <v>38</v>
      </c>
      <c r="N366" s="4" t="n">
        <v>12</v>
      </c>
      <c r="O366" s="5" t="n">
        <v>12.31</v>
      </c>
      <c r="P366" s="6" t="n">
        <v>0</v>
      </c>
      <c r="Q366" s="5" t="n">
        <f aca="false">N366*O366*(1-P366)</f>
        <v>147.72</v>
      </c>
      <c r="R366" s="5" t="n">
        <v>94.33</v>
      </c>
      <c r="S366" s="6" t="n">
        <f aca="false">IFERROR((Q366-R366)/Q366,0)</f>
        <v>0.361427024099648</v>
      </c>
    </row>
    <row r="367" customFormat="false" ht="15" hidden="false" customHeight="false" outlineLevel="0" collapsed="false">
      <c r="A367" s="2" t="n">
        <v>45638</v>
      </c>
      <c r="B367" s="3" t="s">
        <v>348</v>
      </c>
      <c r="C367" s="3" t="s">
        <v>35</v>
      </c>
      <c r="D367" s="3" t="s">
        <v>36</v>
      </c>
      <c r="E367" s="3" t="s">
        <v>37</v>
      </c>
      <c r="F367" s="3" t="s">
        <v>38</v>
      </c>
      <c r="G367" s="3" t="s">
        <v>39</v>
      </c>
      <c r="H367" s="3" t="s">
        <v>119</v>
      </c>
      <c r="I367" s="3" t="s">
        <v>120</v>
      </c>
      <c r="J367" s="3" t="s">
        <v>89</v>
      </c>
      <c r="K367" s="3" t="s">
        <v>121</v>
      </c>
      <c r="L367" s="3" t="s">
        <v>40</v>
      </c>
      <c r="M367" s="3" t="s">
        <v>38</v>
      </c>
      <c r="N367" s="4" t="n">
        <v>120</v>
      </c>
      <c r="O367" s="5" t="n">
        <v>12.01</v>
      </c>
      <c r="P367" s="6" t="n">
        <v>0.05</v>
      </c>
      <c r="Q367" s="5" t="n">
        <f aca="false">N367*O367*(1-P367)</f>
        <v>1369.14</v>
      </c>
      <c r="R367" s="5" t="n">
        <v>818.68</v>
      </c>
      <c r="S367" s="6" t="n">
        <f aca="false">IFERROR((Q367-R367)/Q367,0)</f>
        <v>0.402048000934893</v>
      </c>
    </row>
    <row r="368" customFormat="false" ht="15" hidden="false" customHeight="false" outlineLevel="0" collapsed="false">
      <c r="A368" s="2" t="n">
        <v>45638</v>
      </c>
      <c r="B368" s="3" t="s">
        <v>348</v>
      </c>
      <c r="C368" s="3" t="s">
        <v>35</v>
      </c>
      <c r="D368" s="3" t="s">
        <v>36</v>
      </c>
      <c r="E368" s="3" t="s">
        <v>37</v>
      </c>
      <c r="F368" s="3" t="s">
        <v>38</v>
      </c>
      <c r="G368" s="3" t="s">
        <v>39</v>
      </c>
      <c r="H368" s="3" t="s">
        <v>84</v>
      </c>
      <c r="I368" s="3" t="s">
        <v>85</v>
      </c>
      <c r="J368" s="3" t="s">
        <v>56</v>
      </c>
      <c r="K368" s="3" t="s">
        <v>86</v>
      </c>
      <c r="L368" s="3" t="s">
        <v>40</v>
      </c>
      <c r="M368" s="3" t="s">
        <v>38</v>
      </c>
      <c r="N368" s="4" t="n">
        <v>12</v>
      </c>
      <c r="O368" s="5" t="n">
        <v>5.39</v>
      </c>
      <c r="P368" s="6" t="n">
        <v>0.1</v>
      </c>
      <c r="Q368" s="5" t="n">
        <f aca="false">N368*O368*(1-P368)</f>
        <v>58.212</v>
      </c>
      <c r="R368" s="5" t="n">
        <v>37.4</v>
      </c>
      <c r="S368" s="6" t="n">
        <f aca="false">IFERROR((Q368-R368)/Q368,0)</f>
        <v>0.357520786092215</v>
      </c>
    </row>
    <row r="369" customFormat="false" ht="15" hidden="false" customHeight="false" outlineLevel="0" collapsed="false">
      <c r="A369" s="2" t="n">
        <v>45642</v>
      </c>
      <c r="B369" s="3" t="s">
        <v>349</v>
      </c>
      <c r="C369" s="3" t="s">
        <v>213</v>
      </c>
      <c r="D369" s="3" t="s">
        <v>214</v>
      </c>
      <c r="E369" s="3" t="s">
        <v>215</v>
      </c>
      <c r="F369" s="3" t="s">
        <v>180</v>
      </c>
      <c r="G369" s="3" t="s">
        <v>39</v>
      </c>
      <c r="H369" s="3" t="s">
        <v>84</v>
      </c>
      <c r="I369" s="3" t="s">
        <v>85</v>
      </c>
      <c r="J369" s="3" t="s">
        <v>56</v>
      </c>
      <c r="K369" s="3" t="s">
        <v>86</v>
      </c>
      <c r="L369" s="3" t="s">
        <v>181</v>
      </c>
      <c r="M369" s="3" t="s">
        <v>180</v>
      </c>
      <c r="N369" s="4" t="n">
        <v>6</v>
      </c>
      <c r="O369" s="5" t="n">
        <v>4.86</v>
      </c>
      <c r="P369" s="6" t="n">
        <v>0.05</v>
      </c>
      <c r="Q369" s="5" t="n">
        <f aca="false">N369*O369*(1-P369)</f>
        <v>27.702</v>
      </c>
      <c r="R369" s="5" t="n">
        <v>18.51</v>
      </c>
      <c r="S369" s="6" t="n">
        <f aca="false">IFERROR((Q369-R369)/Q369,0)</f>
        <v>0.331817197314273</v>
      </c>
    </row>
    <row r="370" customFormat="false" ht="15" hidden="false" customHeight="false" outlineLevel="0" collapsed="false">
      <c r="A370" s="2" t="n">
        <v>45648</v>
      </c>
      <c r="B370" s="3" t="s">
        <v>350</v>
      </c>
      <c r="C370" s="3" t="s">
        <v>155</v>
      </c>
      <c r="D370" s="3" t="s">
        <v>156</v>
      </c>
      <c r="E370" s="3" t="s">
        <v>157</v>
      </c>
      <c r="F370" s="3" t="s">
        <v>38</v>
      </c>
      <c r="G370" s="3" t="s">
        <v>39</v>
      </c>
      <c r="H370" s="3" t="s">
        <v>51</v>
      </c>
      <c r="I370" s="3" t="s">
        <v>52</v>
      </c>
      <c r="J370" s="3" t="s">
        <v>27</v>
      </c>
      <c r="K370" s="3" t="s">
        <v>53</v>
      </c>
      <c r="L370" s="3" t="s">
        <v>40</v>
      </c>
      <c r="M370" s="3" t="s">
        <v>38</v>
      </c>
      <c r="N370" s="4" t="n">
        <v>96</v>
      </c>
      <c r="O370" s="5" t="n">
        <v>23.2</v>
      </c>
      <c r="P370" s="6" t="n">
        <v>0.1</v>
      </c>
      <c r="Q370" s="5" t="n">
        <f aca="false">N370*O370*(1-P370)</f>
        <v>2004.48</v>
      </c>
      <c r="R370" s="5" t="n">
        <v>1320.93</v>
      </c>
      <c r="S370" s="6" t="n">
        <f aca="false">IFERROR((Q370-R370)/Q370,0)</f>
        <v>0.341011135057471</v>
      </c>
    </row>
    <row r="371" customFormat="false" ht="15" hidden="false" customHeight="false" outlineLevel="0" collapsed="false">
      <c r="A371" s="2" t="n">
        <v>45648</v>
      </c>
      <c r="B371" s="3" t="s">
        <v>350</v>
      </c>
      <c r="C371" s="3" t="s">
        <v>155</v>
      </c>
      <c r="D371" s="3" t="s">
        <v>156</v>
      </c>
      <c r="E371" s="3" t="s">
        <v>157</v>
      </c>
      <c r="F371" s="3" t="s">
        <v>38</v>
      </c>
      <c r="G371" s="3" t="s">
        <v>39</v>
      </c>
      <c r="H371" s="3" t="s">
        <v>171</v>
      </c>
      <c r="I371" s="3" t="s">
        <v>172</v>
      </c>
      <c r="J371" s="3" t="s">
        <v>27</v>
      </c>
      <c r="K371" s="3" t="s">
        <v>140</v>
      </c>
      <c r="L371" s="3" t="s">
        <v>40</v>
      </c>
      <c r="M371" s="3" t="s">
        <v>38</v>
      </c>
      <c r="N371" s="4" t="n">
        <v>12</v>
      </c>
      <c r="O371" s="5" t="n">
        <v>3.93</v>
      </c>
      <c r="P371" s="6" t="n">
        <v>0.05</v>
      </c>
      <c r="Q371" s="5" t="n">
        <f aca="false">N371*O371*(1-P371)</f>
        <v>44.802</v>
      </c>
      <c r="R371" s="5" t="n">
        <v>30.46</v>
      </c>
      <c r="S371" s="6" t="n">
        <f aca="false">IFERROR((Q371-R371)/Q371,0)</f>
        <v>0.320119637516182</v>
      </c>
    </row>
    <row r="372" customFormat="false" ht="15" hidden="false" customHeight="false" outlineLevel="0" collapsed="false">
      <c r="A372" s="2" t="n">
        <v>45648</v>
      </c>
      <c r="B372" s="3" t="s">
        <v>350</v>
      </c>
      <c r="C372" s="3" t="s">
        <v>155</v>
      </c>
      <c r="D372" s="3" t="s">
        <v>156</v>
      </c>
      <c r="E372" s="3" t="s">
        <v>157</v>
      </c>
      <c r="F372" s="3" t="s">
        <v>38</v>
      </c>
      <c r="G372" s="3" t="s">
        <v>39</v>
      </c>
      <c r="H372" s="3" t="s">
        <v>173</v>
      </c>
      <c r="I372" s="3" t="s">
        <v>174</v>
      </c>
      <c r="J372" s="3" t="s">
        <v>27</v>
      </c>
      <c r="K372" s="3" t="s">
        <v>175</v>
      </c>
      <c r="L372" s="3" t="s">
        <v>40</v>
      </c>
      <c r="M372" s="3" t="s">
        <v>38</v>
      </c>
      <c r="N372" s="4" t="n">
        <v>24</v>
      </c>
      <c r="O372" s="5" t="n">
        <v>18.2</v>
      </c>
      <c r="P372" s="6" t="n">
        <v>0</v>
      </c>
      <c r="Q372" s="5" t="n">
        <f aca="false">N372*O372*(1-P372)</f>
        <v>436.8</v>
      </c>
      <c r="R372" s="5" t="n">
        <v>259.44</v>
      </c>
      <c r="S372" s="6" t="n">
        <f aca="false">IFERROR((Q372-R372)/Q372,0)</f>
        <v>0.406043956043956</v>
      </c>
    </row>
    <row r="373" customFormat="false" ht="15" hidden="false" customHeight="false" outlineLevel="0" collapsed="false">
      <c r="A373" s="2" t="n">
        <v>45648</v>
      </c>
      <c r="B373" s="3" t="s">
        <v>351</v>
      </c>
      <c r="C373" s="3" t="s">
        <v>228</v>
      </c>
      <c r="D373" s="3" t="s">
        <v>124</v>
      </c>
      <c r="E373" s="3" t="s">
        <v>229</v>
      </c>
      <c r="F373" s="3" t="s">
        <v>45</v>
      </c>
      <c r="G373" s="3" t="s">
        <v>39</v>
      </c>
      <c r="H373" s="3" t="s">
        <v>138</v>
      </c>
      <c r="I373" s="3" t="s">
        <v>139</v>
      </c>
      <c r="J373" s="3" t="s">
        <v>27</v>
      </c>
      <c r="K373" s="3" t="s">
        <v>140</v>
      </c>
      <c r="L373" s="3" t="s">
        <v>50</v>
      </c>
      <c r="M373" s="3" t="s">
        <v>45</v>
      </c>
      <c r="N373" s="4" t="n">
        <v>72</v>
      </c>
      <c r="O373" s="5" t="n">
        <v>3.99</v>
      </c>
      <c r="P373" s="6" t="n">
        <v>0.05</v>
      </c>
      <c r="Q373" s="5" t="n">
        <f aca="false">N373*O373*(1-P373)</f>
        <v>272.916</v>
      </c>
      <c r="R373" s="5" t="n">
        <v>168.72</v>
      </c>
      <c r="S373" s="6" t="n">
        <f aca="false">IFERROR((Q373-R373)/Q373,0)</f>
        <v>0.381787802840434</v>
      </c>
    </row>
    <row r="374" customFormat="false" ht="15" hidden="false" customHeight="false" outlineLevel="0" collapsed="false">
      <c r="A374" s="2" t="n">
        <v>45652</v>
      </c>
      <c r="B374" s="3" t="s">
        <v>352</v>
      </c>
      <c r="C374" s="3" t="s">
        <v>201</v>
      </c>
      <c r="D374" s="3" t="s">
        <v>202</v>
      </c>
      <c r="E374" s="3" t="s">
        <v>203</v>
      </c>
      <c r="F374" s="3" t="s">
        <v>170</v>
      </c>
      <c r="G374" s="3" t="s">
        <v>24</v>
      </c>
      <c r="H374" s="3" t="s">
        <v>158</v>
      </c>
      <c r="I374" s="3" t="s">
        <v>159</v>
      </c>
      <c r="J374" s="3" t="s">
        <v>27</v>
      </c>
      <c r="K374" s="3" t="s">
        <v>149</v>
      </c>
      <c r="L374" s="3" t="s">
        <v>106</v>
      </c>
      <c r="M374" s="3" t="s">
        <v>107</v>
      </c>
      <c r="N374" s="4" t="n">
        <v>48</v>
      </c>
      <c r="O374" s="5" t="n">
        <v>7.51</v>
      </c>
      <c r="P374" s="6" t="n">
        <v>0</v>
      </c>
      <c r="Q374" s="5" t="n">
        <f aca="false">N374*O374*(1-P374)</f>
        <v>360.48</v>
      </c>
      <c r="R374" s="5" t="n">
        <v>219.07</v>
      </c>
      <c r="S374" s="6" t="n">
        <f aca="false">IFERROR((Q374-R374)/Q374,0)</f>
        <v>0.392282512205948</v>
      </c>
    </row>
    <row r="375" customFormat="false" ht="15" hidden="false" customHeight="false" outlineLevel="0" collapsed="false">
      <c r="A375" s="2" t="n">
        <v>45652</v>
      </c>
      <c r="B375" s="3" t="s">
        <v>353</v>
      </c>
      <c r="C375" s="3" t="s">
        <v>77</v>
      </c>
      <c r="D375" s="3" t="s">
        <v>78</v>
      </c>
      <c r="E375" s="3" t="s">
        <v>79</v>
      </c>
      <c r="F375" s="3" t="s">
        <v>45</v>
      </c>
      <c r="G375" s="3" t="s">
        <v>80</v>
      </c>
      <c r="H375" s="3" t="s">
        <v>147</v>
      </c>
      <c r="I375" s="3" t="s">
        <v>148</v>
      </c>
      <c r="J375" s="3" t="s">
        <v>27</v>
      </c>
      <c r="K375" s="3" t="s">
        <v>149</v>
      </c>
      <c r="L375" s="3" t="s">
        <v>50</v>
      </c>
      <c r="M375" s="3" t="s">
        <v>45</v>
      </c>
      <c r="N375" s="4" t="n">
        <v>48</v>
      </c>
      <c r="O375" s="5" t="n">
        <v>4.48</v>
      </c>
      <c r="P375" s="6" t="n">
        <v>0</v>
      </c>
      <c r="Q375" s="5" t="n">
        <f aca="false">N375*O375*(1-P375)</f>
        <v>215.04</v>
      </c>
      <c r="R375" s="5" t="n">
        <v>134.9</v>
      </c>
      <c r="S375" s="6" t="n">
        <f aca="false">IFERROR((Q375-R375)/Q375,0)</f>
        <v>0.372674851190476</v>
      </c>
    </row>
    <row r="376" customFormat="false" ht="15" hidden="false" customHeight="false" outlineLevel="0" collapsed="false">
      <c r="A376" s="2" t="n">
        <v>45655</v>
      </c>
      <c r="B376" s="3" t="s">
        <v>354</v>
      </c>
      <c r="C376" s="3" t="s">
        <v>116</v>
      </c>
      <c r="D376" s="3" t="s">
        <v>117</v>
      </c>
      <c r="E376" s="3" t="s">
        <v>118</v>
      </c>
      <c r="F376" s="3" t="s">
        <v>45</v>
      </c>
      <c r="G376" s="3" t="s">
        <v>39</v>
      </c>
      <c r="H376" s="3" t="s">
        <v>87</v>
      </c>
      <c r="I376" s="3" t="s">
        <v>88</v>
      </c>
      <c r="J376" s="3" t="s">
        <v>89</v>
      </c>
      <c r="K376" s="3" t="s">
        <v>90</v>
      </c>
      <c r="L376" s="3" t="s">
        <v>50</v>
      </c>
      <c r="M376" s="3" t="s">
        <v>45</v>
      </c>
      <c r="N376" s="4" t="n">
        <v>60</v>
      </c>
      <c r="O376" s="5" t="n">
        <v>17.53</v>
      </c>
      <c r="P376" s="6" t="n">
        <v>0</v>
      </c>
      <c r="Q376" s="5" t="n">
        <f aca="false">N376*O376*(1-P376)</f>
        <v>1051.8</v>
      </c>
      <c r="R376" s="5" t="n">
        <v>611.13</v>
      </c>
      <c r="S376" s="6" t="n">
        <f aca="false">IFERROR((Q376-R376)/Q376,0)</f>
        <v>0.418967484312607</v>
      </c>
    </row>
    <row r="377" customFormat="false" ht="15" hidden="false" customHeight="false" outlineLevel="0" collapsed="false">
      <c r="A377" s="2" t="n">
        <v>45655</v>
      </c>
      <c r="B377" s="3" t="s">
        <v>355</v>
      </c>
      <c r="C377" s="3" t="s">
        <v>213</v>
      </c>
      <c r="D377" s="3" t="s">
        <v>214</v>
      </c>
      <c r="E377" s="3" t="s">
        <v>215</v>
      </c>
      <c r="F377" s="3" t="s">
        <v>180</v>
      </c>
      <c r="G377" s="3" t="s">
        <v>39</v>
      </c>
      <c r="H377" s="3" t="s">
        <v>222</v>
      </c>
      <c r="I377" s="3" t="s">
        <v>223</v>
      </c>
      <c r="J377" s="3" t="s">
        <v>67</v>
      </c>
      <c r="K377" s="3" t="s">
        <v>184</v>
      </c>
      <c r="L377" s="3" t="s">
        <v>181</v>
      </c>
      <c r="M377" s="3" t="s">
        <v>180</v>
      </c>
      <c r="N377" s="4" t="n">
        <v>48</v>
      </c>
      <c r="O377" s="5" t="n">
        <v>19.85</v>
      </c>
      <c r="P377" s="6" t="n">
        <v>0</v>
      </c>
      <c r="Q377" s="5" t="n">
        <f aca="false">N377*O377*(1-P377)</f>
        <v>952.8</v>
      </c>
      <c r="R377" s="5" t="n">
        <v>553.55</v>
      </c>
      <c r="S377" s="6" t="n">
        <f aca="false">IFERROR((Q377-R377)/Q377,0)</f>
        <v>0.419028127623846</v>
      </c>
    </row>
    <row r="378" customFormat="false" ht="15" hidden="false" customHeight="false" outlineLevel="0" collapsed="false">
      <c r="A378" s="2" t="n">
        <v>45655</v>
      </c>
      <c r="B378" s="3" t="s">
        <v>355</v>
      </c>
      <c r="C378" s="3" t="s">
        <v>213</v>
      </c>
      <c r="D378" s="3" t="s">
        <v>214</v>
      </c>
      <c r="E378" s="3" t="s">
        <v>215</v>
      </c>
      <c r="F378" s="3" t="s">
        <v>180</v>
      </c>
      <c r="G378" s="3" t="s">
        <v>39</v>
      </c>
      <c r="H378" s="3" t="s">
        <v>54</v>
      </c>
      <c r="I378" s="3" t="s">
        <v>55</v>
      </c>
      <c r="J378" s="3" t="s">
        <v>56</v>
      </c>
      <c r="K378" s="3" t="s">
        <v>57</v>
      </c>
      <c r="L378" s="3" t="s">
        <v>181</v>
      </c>
      <c r="M378" s="3" t="s">
        <v>180</v>
      </c>
      <c r="N378" s="4" t="n">
        <v>24</v>
      </c>
      <c r="O378" s="5" t="n">
        <v>4.66</v>
      </c>
      <c r="P378" s="6" t="n">
        <v>0</v>
      </c>
      <c r="Q378" s="5" t="n">
        <f aca="false">N378*O378*(1-P378)</f>
        <v>111.84</v>
      </c>
      <c r="R378" s="5" t="n">
        <v>69.01</v>
      </c>
      <c r="S378" s="6" t="n">
        <f aca="false">IFERROR((Q378-R378)/Q378,0)</f>
        <v>0.382957796852647</v>
      </c>
    </row>
    <row r="379" customFormat="false" ht="15" hidden="false" customHeight="false" outlineLevel="0" collapsed="false">
      <c r="A379" s="2" t="n">
        <v>45655</v>
      </c>
      <c r="B379" s="3" t="s">
        <v>355</v>
      </c>
      <c r="C379" s="3" t="s">
        <v>213</v>
      </c>
      <c r="D379" s="3" t="s">
        <v>214</v>
      </c>
      <c r="E379" s="3" t="s">
        <v>215</v>
      </c>
      <c r="F379" s="3" t="s">
        <v>180</v>
      </c>
      <c r="G379" s="3" t="s">
        <v>39</v>
      </c>
      <c r="H379" s="3" t="s">
        <v>182</v>
      </c>
      <c r="I379" s="3" t="s">
        <v>183</v>
      </c>
      <c r="J379" s="3" t="s">
        <v>67</v>
      </c>
      <c r="K379" s="3" t="s">
        <v>184</v>
      </c>
      <c r="L379" s="3" t="s">
        <v>181</v>
      </c>
      <c r="M379" s="3" t="s">
        <v>180</v>
      </c>
      <c r="N379" s="4" t="n">
        <v>12</v>
      </c>
      <c r="O379" s="5" t="n">
        <v>11.77</v>
      </c>
      <c r="P379" s="6" t="n">
        <v>0.05</v>
      </c>
      <c r="Q379" s="5" t="n">
        <f aca="false">N379*O379*(1-P379)</f>
        <v>134.178</v>
      </c>
      <c r="R379" s="5" t="n">
        <v>95.17</v>
      </c>
      <c r="S379" s="6" t="n">
        <f aca="false">IFERROR((Q379-R379)/Q379,0)</f>
        <v>0.29071829957221</v>
      </c>
    </row>
    <row r="380" customFormat="false" ht="15" hidden="false" customHeight="false" outlineLevel="0" collapsed="false">
      <c r="A380" s="2" t="n">
        <v>45655</v>
      </c>
      <c r="B380" s="3" t="s">
        <v>355</v>
      </c>
      <c r="C380" s="3" t="s">
        <v>213</v>
      </c>
      <c r="D380" s="3" t="s">
        <v>214</v>
      </c>
      <c r="E380" s="3" t="s">
        <v>215</v>
      </c>
      <c r="F380" s="3" t="s">
        <v>180</v>
      </c>
      <c r="G380" s="3" t="s">
        <v>39</v>
      </c>
      <c r="H380" s="3" t="s">
        <v>189</v>
      </c>
      <c r="I380" s="3" t="s">
        <v>190</v>
      </c>
      <c r="J380" s="3" t="s">
        <v>27</v>
      </c>
      <c r="K380" s="3" t="s">
        <v>149</v>
      </c>
      <c r="L380" s="3" t="s">
        <v>181</v>
      </c>
      <c r="M380" s="3" t="s">
        <v>180</v>
      </c>
      <c r="N380" s="4" t="n">
        <v>24</v>
      </c>
      <c r="O380" s="5" t="n">
        <v>9.81</v>
      </c>
      <c r="P380" s="6" t="n">
        <v>0</v>
      </c>
      <c r="Q380" s="5" t="n">
        <f aca="false">N380*O380*(1-P380)</f>
        <v>235.44</v>
      </c>
      <c r="R380" s="5" t="n">
        <v>137.81</v>
      </c>
      <c r="S380" s="6" t="n">
        <f aca="false">IFERROR((Q380-R380)/Q380,0)</f>
        <v>0.414670404349303</v>
      </c>
    </row>
    <row r="381" customFormat="false" ht="15" hidden="false" customHeight="false" outlineLevel="0" collapsed="false">
      <c r="A381" s="2" t="n">
        <v>45656</v>
      </c>
      <c r="B381" s="3" t="s">
        <v>356</v>
      </c>
      <c r="C381" s="3" t="s">
        <v>151</v>
      </c>
      <c r="D381" s="3" t="s">
        <v>152</v>
      </c>
      <c r="E381" s="3" t="s">
        <v>153</v>
      </c>
      <c r="F381" s="3" t="s">
        <v>38</v>
      </c>
      <c r="G381" s="3" t="s">
        <v>95</v>
      </c>
      <c r="H381" s="3" t="s">
        <v>98</v>
      </c>
      <c r="I381" s="3" t="s">
        <v>99</v>
      </c>
      <c r="J381" s="3" t="s">
        <v>89</v>
      </c>
      <c r="K381" s="3" t="s">
        <v>100</v>
      </c>
      <c r="L381" s="3" t="s">
        <v>40</v>
      </c>
      <c r="M381" s="3" t="s">
        <v>38</v>
      </c>
      <c r="N381" s="4" t="n">
        <v>48</v>
      </c>
      <c r="O381" s="5" t="n">
        <v>23.04</v>
      </c>
      <c r="P381" s="6" t="n">
        <v>0.05</v>
      </c>
      <c r="Q381" s="5" t="n">
        <f aca="false">N381*O381*(1-P381)</f>
        <v>1050.624</v>
      </c>
      <c r="R381" s="5" t="n">
        <v>676.76</v>
      </c>
      <c r="S381" s="6" t="n">
        <f aca="false">IFERROR((Q381-R381)/Q381,0)</f>
        <v>0.355849476120858</v>
      </c>
    </row>
    <row r="382" customFormat="false" ht="15" hidden="false" customHeight="false" outlineLevel="0" collapsed="false">
      <c r="A382" s="2" t="n">
        <v>45656</v>
      </c>
      <c r="B382" s="3" t="s">
        <v>356</v>
      </c>
      <c r="C382" s="3" t="s">
        <v>151</v>
      </c>
      <c r="D382" s="3" t="s">
        <v>152</v>
      </c>
      <c r="E382" s="3" t="s">
        <v>153</v>
      </c>
      <c r="F382" s="3" t="s">
        <v>38</v>
      </c>
      <c r="G382" s="3" t="s">
        <v>95</v>
      </c>
      <c r="H382" s="3" t="s">
        <v>138</v>
      </c>
      <c r="I382" s="3" t="s">
        <v>139</v>
      </c>
      <c r="J382" s="3" t="s">
        <v>27</v>
      </c>
      <c r="K382" s="3" t="s">
        <v>140</v>
      </c>
      <c r="L382" s="3" t="s">
        <v>40</v>
      </c>
      <c r="M382" s="3" t="s">
        <v>38</v>
      </c>
      <c r="N382" s="4" t="n">
        <v>96</v>
      </c>
      <c r="O382" s="5" t="n">
        <v>3.96</v>
      </c>
      <c r="P382" s="6" t="n">
        <v>0</v>
      </c>
      <c r="Q382" s="5" t="n">
        <f aca="false">N382*O382*(1-P382)</f>
        <v>380.16</v>
      </c>
      <c r="R382" s="5" t="n">
        <v>223.37</v>
      </c>
      <c r="S382" s="6" t="n">
        <f aca="false">IFERROR((Q382-R382)/Q382,0)</f>
        <v>0.412431607744108</v>
      </c>
    </row>
    <row r="383" customFormat="false" ht="15" hidden="false" customHeight="false" outlineLevel="0" collapsed="false">
      <c r="A383" s="2" t="n">
        <v>45656</v>
      </c>
      <c r="B383" s="3" t="s">
        <v>356</v>
      </c>
      <c r="C383" s="3" t="s">
        <v>151</v>
      </c>
      <c r="D383" s="3" t="s">
        <v>152</v>
      </c>
      <c r="E383" s="3" t="s">
        <v>153</v>
      </c>
      <c r="F383" s="3" t="s">
        <v>38</v>
      </c>
      <c r="G383" s="3" t="s">
        <v>95</v>
      </c>
      <c r="H383" s="3" t="s">
        <v>73</v>
      </c>
      <c r="I383" s="3" t="s">
        <v>74</v>
      </c>
      <c r="J383" s="3" t="s">
        <v>48</v>
      </c>
      <c r="K383" s="3" t="s">
        <v>75</v>
      </c>
      <c r="L383" s="3" t="s">
        <v>40</v>
      </c>
      <c r="M383" s="3" t="s">
        <v>38</v>
      </c>
      <c r="N383" s="4" t="n">
        <v>12</v>
      </c>
      <c r="O383" s="5" t="n">
        <v>8.9</v>
      </c>
      <c r="P383" s="6" t="n">
        <v>0.05</v>
      </c>
      <c r="Q383" s="5" t="n">
        <f aca="false">N383*O383*(1-P383)</f>
        <v>101.46</v>
      </c>
      <c r="R383" s="5" t="n">
        <v>63.64</v>
      </c>
      <c r="S383" s="6" t="n">
        <f aca="false">IFERROR((Q383-R383)/Q383,0)</f>
        <v>0.372757737039227</v>
      </c>
    </row>
    <row r="384" customFormat="false" ht="15" hidden="false" customHeight="false" outlineLevel="0" collapsed="false">
      <c r="A384" s="2" t="n">
        <v>45656</v>
      </c>
      <c r="B384" s="3" t="s">
        <v>356</v>
      </c>
      <c r="C384" s="3" t="s">
        <v>151</v>
      </c>
      <c r="D384" s="3" t="s">
        <v>152</v>
      </c>
      <c r="E384" s="3" t="s">
        <v>153</v>
      </c>
      <c r="F384" s="3" t="s">
        <v>38</v>
      </c>
      <c r="G384" s="3" t="s">
        <v>95</v>
      </c>
      <c r="H384" s="3" t="s">
        <v>222</v>
      </c>
      <c r="I384" s="3" t="s">
        <v>223</v>
      </c>
      <c r="J384" s="3" t="s">
        <v>67</v>
      </c>
      <c r="K384" s="3" t="s">
        <v>184</v>
      </c>
      <c r="L384" s="3" t="s">
        <v>40</v>
      </c>
      <c r="M384" s="3" t="s">
        <v>38</v>
      </c>
      <c r="N384" s="4" t="n">
        <v>12</v>
      </c>
      <c r="O384" s="5" t="n">
        <v>18.42</v>
      </c>
      <c r="P384" s="6" t="n">
        <v>0.05</v>
      </c>
      <c r="Q384" s="5" t="n">
        <f aca="false">N384*O384*(1-P384)</f>
        <v>209.988</v>
      </c>
      <c r="R384" s="5" t="n">
        <v>140.59</v>
      </c>
      <c r="S384" s="6" t="n">
        <f aca="false">IFERROR((Q384-R384)/Q384,0)</f>
        <v>0.330485551555327</v>
      </c>
    </row>
    <row r="385" customFormat="false" ht="15" hidden="false" customHeight="false" outlineLevel="0" collapsed="false">
      <c r="A385" s="2" t="n">
        <v>45656</v>
      </c>
      <c r="B385" s="3" t="s">
        <v>357</v>
      </c>
      <c r="C385" s="3" t="s">
        <v>228</v>
      </c>
      <c r="D385" s="3" t="s">
        <v>124</v>
      </c>
      <c r="E385" s="3" t="s">
        <v>229</v>
      </c>
      <c r="F385" s="3" t="s">
        <v>45</v>
      </c>
      <c r="G385" s="3" t="s">
        <v>39</v>
      </c>
      <c r="H385" s="3" t="s">
        <v>138</v>
      </c>
      <c r="I385" s="3" t="s">
        <v>139</v>
      </c>
      <c r="J385" s="3" t="s">
        <v>27</v>
      </c>
      <c r="K385" s="3" t="s">
        <v>140</v>
      </c>
      <c r="L385" s="3" t="s">
        <v>50</v>
      </c>
      <c r="M385" s="3" t="s">
        <v>45</v>
      </c>
      <c r="N385" s="4" t="n">
        <v>48</v>
      </c>
      <c r="O385" s="5" t="n">
        <v>4.04</v>
      </c>
      <c r="P385" s="6" t="n">
        <v>0.15</v>
      </c>
      <c r="Q385" s="5" t="n">
        <f aca="false">N385*O385*(1-P385)</f>
        <v>164.832</v>
      </c>
      <c r="R385" s="5" t="n">
        <v>110.02</v>
      </c>
      <c r="S385" s="6" t="n">
        <f aca="false">IFERROR((Q385-R385)/Q385,0)</f>
        <v>0.332532517957678</v>
      </c>
    </row>
    <row r="386" customFormat="false" ht="15" hidden="false" customHeight="false" outlineLevel="0" collapsed="false">
      <c r="A386" s="2" t="n">
        <v>45656</v>
      </c>
      <c r="B386" s="3" t="s">
        <v>357</v>
      </c>
      <c r="C386" s="3" t="s">
        <v>228</v>
      </c>
      <c r="D386" s="3" t="s">
        <v>124</v>
      </c>
      <c r="E386" s="3" t="s">
        <v>229</v>
      </c>
      <c r="F386" s="3" t="s">
        <v>45</v>
      </c>
      <c r="G386" s="3" t="s">
        <v>39</v>
      </c>
      <c r="H386" s="3" t="s">
        <v>158</v>
      </c>
      <c r="I386" s="3" t="s">
        <v>159</v>
      </c>
      <c r="J386" s="3" t="s">
        <v>27</v>
      </c>
      <c r="K386" s="3" t="s">
        <v>149</v>
      </c>
      <c r="L386" s="3" t="s">
        <v>50</v>
      </c>
      <c r="M386" s="3" t="s">
        <v>45</v>
      </c>
      <c r="N386" s="4" t="n">
        <v>120</v>
      </c>
      <c r="O386" s="5" t="n">
        <v>7.75</v>
      </c>
      <c r="P386" s="6" t="n">
        <v>0</v>
      </c>
      <c r="Q386" s="5" t="n">
        <f aca="false">N386*O386*(1-P386)</f>
        <v>930</v>
      </c>
      <c r="R386" s="5" t="n">
        <v>541.74</v>
      </c>
      <c r="S386" s="6" t="n">
        <f aca="false">IFERROR((Q386-R386)/Q386,0)</f>
        <v>0.417483870967742</v>
      </c>
    </row>
    <row r="387" customFormat="false" ht="15" hidden="false" customHeight="false" outlineLevel="0" collapsed="false">
      <c r="A387" s="2" t="n">
        <v>45656</v>
      </c>
      <c r="B387" s="3" t="s">
        <v>357</v>
      </c>
      <c r="C387" s="3" t="s">
        <v>228</v>
      </c>
      <c r="D387" s="3" t="s">
        <v>124</v>
      </c>
      <c r="E387" s="3" t="s">
        <v>229</v>
      </c>
      <c r="F387" s="3" t="s">
        <v>45</v>
      </c>
      <c r="G387" s="3" t="s">
        <v>39</v>
      </c>
      <c r="H387" s="3" t="s">
        <v>98</v>
      </c>
      <c r="I387" s="3" t="s">
        <v>99</v>
      </c>
      <c r="J387" s="3" t="s">
        <v>89</v>
      </c>
      <c r="K387" s="3" t="s">
        <v>100</v>
      </c>
      <c r="L387" s="3" t="s">
        <v>50</v>
      </c>
      <c r="M387" s="3" t="s">
        <v>45</v>
      </c>
      <c r="N387" s="4" t="n">
        <v>96</v>
      </c>
      <c r="O387" s="5" t="n">
        <v>21.25</v>
      </c>
      <c r="P387" s="6" t="n">
        <v>0</v>
      </c>
      <c r="Q387" s="5" t="n">
        <f aca="false">N387*O387*(1-P387)</f>
        <v>2040</v>
      </c>
      <c r="R387" s="5" t="n">
        <v>1340.5</v>
      </c>
      <c r="S387" s="6" t="n">
        <f aca="false">IFERROR((Q387-R387)/Q387,0)</f>
        <v>0.342892156862745</v>
      </c>
    </row>
    <row r="388" customFormat="false" ht="15" hidden="false" customHeight="false" outlineLevel="0" collapsed="false">
      <c r="A388" s="2" t="n">
        <v>45659</v>
      </c>
      <c r="B388" s="3" t="s">
        <v>358</v>
      </c>
      <c r="C388" s="3" t="s">
        <v>161</v>
      </c>
      <c r="D388" s="3" t="s">
        <v>162</v>
      </c>
      <c r="E388" s="3" t="s">
        <v>163</v>
      </c>
      <c r="F388" s="3" t="s">
        <v>38</v>
      </c>
      <c r="G388" s="3" t="s">
        <v>24</v>
      </c>
      <c r="H388" s="3" t="s">
        <v>141</v>
      </c>
      <c r="I388" s="3" t="s">
        <v>142</v>
      </c>
      <c r="J388" s="3" t="s">
        <v>89</v>
      </c>
      <c r="K388" s="3" t="s">
        <v>100</v>
      </c>
      <c r="L388" s="3" t="s">
        <v>40</v>
      </c>
      <c r="M388" s="3" t="s">
        <v>38</v>
      </c>
      <c r="N388" s="4" t="n">
        <v>12</v>
      </c>
      <c r="O388" s="5" t="n">
        <v>18.61</v>
      </c>
      <c r="P388" s="6" t="n">
        <v>0.05</v>
      </c>
      <c r="Q388" s="5" t="n">
        <f aca="false">N388*O388*(1-P388)</f>
        <v>212.154</v>
      </c>
      <c r="R388" s="5" t="n">
        <v>147.23</v>
      </c>
      <c r="S388" s="6" t="n">
        <f aca="false">IFERROR((Q388-R388)/Q388,0)</f>
        <v>0.306022983304581</v>
      </c>
    </row>
    <row r="389" customFormat="false" ht="15" hidden="false" customHeight="false" outlineLevel="0" collapsed="false">
      <c r="A389" s="2" t="n">
        <v>45659</v>
      </c>
      <c r="B389" s="3" t="s">
        <v>358</v>
      </c>
      <c r="C389" s="3" t="s">
        <v>161</v>
      </c>
      <c r="D389" s="3" t="s">
        <v>162</v>
      </c>
      <c r="E389" s="3" t="s">
        <v>163</v>
      </c>
      <c r="F389" s="3" t="s">
        <v>38</v>
      </c>
      <c r="G389" s="3" t="s">
        <v>24</v>
      </c>
      <c r="H389" s="3" t="s">
        <v>30</v>
      </c>
      <c r="I389" s="3" t="s">
        <v>31</v>
      </c>
      <c r="J389" s="3" t="s">
        <v>32</v>
      </c>
      <c r="K389" s="3" t="s">
        <v>33</v>
      </c>
      <c r="L389" s="3" t="s">
        <v>40</v>
      </c>
      <c r="M389" s="3" t="s">
        <v>38</v>
      </c>
      <c r="N389" s="4" t="n">
        <v>72</v>
      </c>
      <c r="O389" s="5" t="n">
        <v>23.04</v>
      </c>
      <c r="P389" s="6" t="n">
        <v>0.15</v>
      </c>
      <c r="Q389" s="5" t="n">
        <f aca="false">N389*O389*(1-P389)</f>
        <v>1410.048</v>
      </c>
      <c r="R389" s="5" t="n">
        <v>1086.04</v>
      </c>
      <c r="S389" s="6" t="n">
        <f aca="false">IFERROR((Q389-R389)/Q389,0)</f>
        <v>0.229785085330428</v>
      </c>
    </row>
    <row r="390" customFormat="false" ht="15" hidden="false" customHeight="false" outlineLevel="0" collapsed="false">
      <c r="A390" s="2" t="n">
        <v>45659</v>
      </c>
      <c r="B390" s="3" t="s">
        <v>358</v>
      </c>
      <c r="C390" s="3" t="s">
        <v>161</v>
      </c>
      <c r="D390" s="3" t="s">
        <v>162</v>
      </c>
      <c r="E390" s="3" t="s">
        <v>163</v>
      </c>
      <c r="F390" s="3" t="s">
        <v>38</v>
      </c>
      <c r="G390" s="3" t="s">
        <v>24</v>
      </c>
      <c r="H390" s="3" t="s">
        <v>96</v>
      </c>
      <c r="I390" s="3" t="s">
        <v>97</v>
      </c>
      <c r="J390" s="3" t="s">
        <v>48</v>
      </c>
      <c r="K390" s="3" t="s">
        <v>75</v>
      </c>
      <c r="L390" s="3" t="s">
        <v>40</v>
      </c>
      <c r="M390" s="3" t="s">
        <v>38</v>
      </c>
      <c r="N390" s="4" t="n">
        <v>24</v>
      </c>
      <c r="O390" s="5" t="n">
        <v>8.11</v>
      </c>
      <c r="P390" s="6" t="n">
        <v>0</v>
      </c>
      <c r="Q390" s="5" t="n">
        <f aca="false">N390*O390*(1-P390)</f>
        <v>194.64</v>
      </c>
      <c r="R390" s="5" t="n">
        <v>119.16</v>
      </c>
      <c r="S390" s="6" t="n">
        <f aca="false">IFERROR((Q390-R390)/Q390,0)</f>
        <v>0.387792848335388</v>
      </c>
    </row>
    <row r="391" customFormat="false" ht="15" hidden="false" customHeight="false" outlineLevel="0" collapsed="false">
      <c r="A391" s="2" t="n">
        <v>45659</v>
      </c>
      <c r="B391" s="3" t="s">
        <v>358</v>
      </c>
      <c r="C391" s="3" t="s">
        <v>161</v>
      </c>
      <c r="D391" s="3" t="s">
        <v>162</v>
      </c>
      <c r="E391" s="3" t="s">
        <v>163</v>
      </c>
      <c r="F391" s="3" t="s">
        <v>38</v>
      </c>
      <c r="G391" s="3" t="s">
        <v>24</v>
      </c>
      <c r="H391" s="3" t="s">
        <v>51</v>
      </c>
      <c r="I391" s="3" t="s">
        <v>52</v>
      </c>
      <c r="J391" s="3" t="s">
        <v>27</v>
      </c>
      <c r="K391" s="3" t="s">
        <v>53</v>
      </c>
      <c r="L391" s="3" t="s">
        <v>40</v>
      </c>
      <c r="M391" s="3" t="s">
        <v>38</v>
      </c>
      <c r="N391" s="4" t="n">
        <v>60</v>
      </c>
      <c r="O391" s="5" t="n">
        <v>21.29</v>
      </c>
      <c r="P391" s="6" t="n">
        <v>0.05</v>
      </c>
      <c r="Q391" s="5" t="n">
        <f aca="false">N391*O391*(1-P391)</f>
        <v>1213.53</v>
      </c>
      <c r="R391" s="5" t="n">
        <v>854.61</v>
      </c>
      <c r="S391" s="6" t="n">
        <f aca="false">IFERROR((Q391-R391)/Q391,0)</f>
        <v>0.295765246841858</v>
      </c>
    </row>
    <row r="392" customFormat="false" ht="15" hidden="false" customHeight="false" outlineLevel="0" collapsed="false">
      <c r="A392" s="2" t="n">
        <v>45659</v>
      </c>
      <c r="B392" s="3" t="s">
        <v>359</v>
      </c>
      <c r="C392" s="3" t="s">
        <v>42</v>
      </c>
      <c r="D392" s="3" t="s">
        <v>43</v>
      </c>
      <c r="E392" s="3" t="s">
        <v>44</v>
      </c>
      <c r="F392" s="3" t="s">
        <v>45</v>
      </c>
      <c r="G392" s="3" t="s">
        <v>24</v>
      </c>
      <c r="H392" s="3" t="s">
        <v>171</v>
      </c>
      <c r="I392" s="3" t="s">
        <v>172</v>
      </c>
      <c r="J392" s="3" t="s">
        <v>27</v>
      </c>
      <c r="K392" s="3" t="s">
        <v>140</v>
      </c>
      <c r="L392" s="3" t="s">
        <v>50</v>
      </c>
      <c r="M392" s="3" t="s">
        <v>45</v>
      </c>
      <c r="N392" s="4" t="n">
        <v>6</v>
      </c>
      <c r="O392" s="5" t="n">
        <v>4.51</v>
      </c>
      <c r="P392" s="6" t="n">
        <v>0</v>
      </c>
      <c r="Q392" s="5" t="n">
        <f aca="false">N392*O392*(1-P392)</f>
        <v>27.06</v>
      </c>
      <c r="R392" s="5" t="n">
        <v>14.94</v>
      </c>
      <c r="S392" s="6" t="n">
        <f aca="false">IFERROR((Q392-R392)/Q392,0)</f>
        <v>0.447893569844789</v>
      </c>
    </row>
    <row r="393" customFormat="false" ht="15" hidden="false" customHeight="false" outlineLevel="0" collapsed="false">
      <c r="A393" s="2" t="n">
        <v>45659</v>
      </c>
      <c r="B393" s="3" t="s">
        <v>359</v>
      </c>
      <c r="C393" s="3" t="s">
        <v>42</v>
      </c>
      <c r="D393" s="3" t="s">
        <v>43</v>
      </c>
      <c r="E393" s="3" t="s">
        <v>44</v>
      </c>
      <c r="F393" s="3" t="s">
        <v>45</v>
      </c>
      <c r="G393" s="3" t="s">
        <v>24</v>
      </c>
      <c r="H393" s="3" t="s">
        <v>132</v>
      </c>
      <c r="I393" s="3" t="s">
        <v>133</v>
      </c>
      <c r="J393" s="3" t="s">
        <v>27</v>
      </c>
      <c r="K393" s="3" t="s">
        <v>28</v>
      </c>
      <c r="L393" s="3" t="s">
        <v>50</v>
      </c>
      <c r="M393" s="3" t="s">
        <v>45</v>
      </c>
      <c r="N393" s="4" t="n">
        <v>120</v>
      </c>
      <c r="O393" s="5" t="n">
        <v>13.45</v>
      </c>
      <c r="P393" s="6" t="n">
        <v>0</v>
      </c>
      <c r="Q393" s="5" t="n">
        <f aca="false">N393*O393*(1-P393)</f>
        <v>1614</v>
      </c>
      <c r="R393" s="5" t="n">
        <v>994.07</v>
      </c>
      <c r="S393" s="6" t="n">
        <f aca="false">IFERROR((Q393-R393)/Q393,0)</f>
        <v>0.38409541511772</v>
      </c>
    </row>
    <row r="394" customFormat="false" ht="15" hidden="false" customHeight="false" outlineLevel="0" collapsed="false">
      <c r="A394" s="2" t="n">
        <v>45659</v>
      </c>
      <c r="B394" s="3" t="s">
        <v>359</v>
      </c>
      <c r="C394" s="3" t="s">
        <v>42</v>
      </c>
      <c r="D394" s="3" t="s">
        <v>43</v>
      </c>
      <c r="E394" s="3" t="s">
        <v>44</v>
      </c>
      <c r="F394" s="3" t="s">
        <v>45</v>
      </c>
      <c r="G394" s="3" t="s">
        <v>24</v>
      </c>
      <c r="H394" s="3" t="s">
        <v>96</v>
      </c>
      <c r="I394" s="3" t="s">
        <v>97</v>
      </c>
      <c r="J394" s="3" t="s">
        <v>48</v>
      </c>
      <c r="K394" s="3" t="s">
        <v>75</v>
      </c>
      <c r="L394" s="3" t="s">
        <v>50</v>
      </c>
      <c r="M394" s="3" t="s">
        <v>45</v>
      </c>
      <c r="N394" s="4" t="n">
        <v>60</v>
      </c>
      <c r="O394" s="5" t="n">
        <v>8.39</v>
      </c>
      <c r="P394" s="6" t="n">
        <v>0</v>
      </c>
      <c r="Q394" s="5" t="n">
        <f aca="false">N394*O394*(1-P394)</f>
        <v>503.4</v>
      </c>
      <c r="R394" s="5" t="n">
        <v>295.79</v>
      </c>
      <c r="S394" s="6" t="n">
        <f aca="false">IFERROR((Q394-R394)/Q394,0)</f>
        <v>0.412415574096146</v>
      </c>
    </row>
    <row r="395" customFormat="false" ht="15" hidden="false" customHeight="false" outlineLevel="0" collapsed="false">
      <c r="A395" s="2" t="n">
        <v>45659</v>
      </c>
      <c r="B395" s="3" t="s">
        <v>359</v>
      </c>
      <c r="C395" s="3" t="s">
        <v>42</v>
      </c>
      <c r="D395" s="3" t="s">
        <v>43</v>
      </c>
      <c r="E395" s="3" t="s">
        <v>44</v>
      </c>
      <c r="F395" s="3" t="s">
        <v>45</v>
      </c>
      <c r="G395" s="3" t="s">
        <v>24</v>
      </c>
      <c r="H395" s="3" t="s">
        <v>182</v>
      </c>
      <c r="I395" s="3" t="s">
        <v>183</v>
      </c>
      <c r="J395" s="3" t="s">
        <v>67</v>
      </c>
      <c r="K395" s="3" t="s">
        <v>184</v>
      </c>
      <c r="L395" s="3" t="s">
        <v>50</v>
      </c>
      <c r="M395" s="3" t="s">
        <v>45</v>
      </c>
      <c r="N395" s="4" t="n">
        <v>6</v>
      </c>
      <c r="O395" s="5" t="n">
        <v>13.33</v>
      </c>
      <c r="P395" s="6" t="n">
        <v>0</v>
      </c>
      <c r="Q395" s="5" t="n">
        <f aca="false">N395*O395*(1-P395)</f>
        <v>79.98</v>
      </c>
      <c r="R395" s="5" t="n">
        <v>46.65</v>
      </c>
      <c r="S395" s="6" t="n">
        <f aca="false">IFERROR((Q395-R395)/Q395,0)</f>
        <v>0.416729182295574</v>
      </c>
    </row>
    <row r="396" customFormat="false" ht="15" hidden="false" customHeight="false" outlineLevel="0" collapsed="false">
      <c r="A396" s="2" t="n">
        <v>45661</v>
      </c>
      <c r="B396" s="3" t="s">
        <v>360</v>
      </c>
      <c r="C396" s="3" t="s">
        <v>20</v>
      </c>
      <c r="D396" s="3" t="s">
        <v>21</v>
      </c>
      <c r="E396" s="3" t="s">
        <v>22</v>
      </c>
      <c r="F396" s="3" t="s">
        <v>23</v>
      </c>
      <c r="G396" s="3" t="s">
        <v>24</v>
      </c>
      <c r="H396" s="3" t="s">
        <v>84</v>
      </c>
      <c r="I396" s="3" t="s">
        <v>85</v>
      </c>
      <c r="J396" s="3" t="s">
        <v>56</v>
      </c>
      <c r="K396" s="3" t="s">
        <v>86</v>
      </c>
      <c r="L396" s="3" t="s">
        <v>29</v>
      </c>
      <c r="M396" s="3" t="s">
        <v>23</v>
      </c>
      <c r="N396" s="4" t="n">
        <v>6</v>
      </c>
      <c r="O396" s="5" t="n">
        <v>5.04</v>
      </c>
      <c r="P396" s="6" t="n">
        <v>0.1</v>
      </c>
      <c r="Q396" s="5" t="n">
        <f aca="false">N396*O396*(1-P396)</f>
        <v>27.216</v>
      </c>
      <c r="R396" s="5" t="n">
        <v>18.25</v>
      </c>
      <c r="S396" s="6" t="n">
        <f aca="false">IFERROR((Q396-R396)/Q396,0)</f>
        <v>0.329438565549677</v>
      </c>
    </row>
    <row r="397" customFormat="false" ht="15" hidden="false" customHeight="false" outlineLevel="0" collapsed="false">
      <c r="A397" s="2" t="n">
        <v>45661</v>
      </c>
      <c r="B397" s="3" t="s">
        <v>360</v>
      </c>
      <c r="C397" s="3" t="s">
        <v>20</v>
      </c>
      <c r="D397" s="3" t="s">
        <v>21</v>
      </c>
      <c r="E397" s="3" t="s">
        <v>22</v>
      </c>
      <c r="F397" s="3" t="s">
        <v>23</v>
      </c>
      <c r="G397" s="3" t="s">
        <v>24</v>
      </c>
      <c r="H397" s="3" t="s">
        <v>171</v>
      </c>
      <c r="I397" s="3" t="s">
        <v>172</v>
      </c>
      <c r="J397" s="3" t="s">
        <v>27</v>
      </c>
      <c r="K397" s="3" t="s">
        <v>140</v>
      </c>
      <c r="L397" s="3" t="s">
        <v>29</v>
      </c>
      <c r="M397" s="3" t="s">
        <v>23</v>
      </c>
      <c r="N397" s="4" t="n">
        <v>24</v>
      </c>
      <c r="O397" s="5" t="n">
        <v>3.92</v>
      </c>
      <c r="P397" s="6" t="n">
        <v>0</v>
      </c>
      <c r="Q397" s="5" t="n">
        <f aca="false">N397*O397*(1-P397)</f>
        <v>94.08</v>
      </c>
      <c r="R397" s="5" t="n">
        <v>59.58</v>
      </c>
      <c r="S397" s="6" t="n">
        <f aca="false">IFERROR((Q397-R397)/Q397,0)</f>
        <v>0.366709183673469</v>
      </c>
    </row>
    <row r="398" customFormat="false" ht="15" hidden="false" customHeight="false" outlineLevel="0" collapsed="false">
      <c r="A398" s="2" t="n">
        <v>45661</v>
      </c>
      <c r="B398" s="3" t="s">
        <v>361</v>
      </c>
      <c r="C398" s="3" t="s">
        <v>62</v>
      </c>
      <c r="D398" s="3" t="s">
        <v>63</v>
      </c>
      <c r="E398" s="3" t="s">
        <v>64</v>
      </c>
      <c r="F398" s="3" t="s">
        <v>38</v>
      </c>
      <c r="G398" s="3" t="s">
        <v>39</v>
      </c>
      <c r="H398" s="3" t="s">
        <v>182</v>
      </c>
      <c r="I398" s="3" t="s">
        <v>183</v>
      </c>
      <c r="J398" s="3" t="s">
        <v>67</v>
      </c>
      <c r="K398" s="3" t="s">
        <v>184</v>
      </c>
      <c r="L398" s="3" t="s">
        <v>40</v>
      </c>
      <c r="M398" s="3" t="s">
        <v>38</v>
      </c>
      <c r="N398" s="4" t="n">
        <v>6</v>
      </c>
      <c r="O398" s="5" t="n">
        <v>12.65</v>
      </c>
      <c r="P398" s="6" t="n">
        <v>0</v>
      </c>
      <c r="Q398" s="5" t="n">
        <f aca="false">N398*O398*(1-P398)</f>
        <v>75.9</v>
      </c>
      <c r="R398" s="5" t="n">
        <v>46.22</v>
      </c>
      <c r="S398" s="6" t="n">
        <f aca="false">IFERROR((Q398-R398)/Q398,0)</f>
        <v>0.391040843214756</v>
      </c>
    </row>
    <row r="399" customFormat="false" ht="15" hidden="false" customHeight="false" outlineLevel="0" collapsed="false">
      <c r="A399" s="2" t="n">
        <v>45661</v>
      </c>
      <c r="B399" s="3" t="s">
        <v>361</v>
      </c>
      <c r="C399" s="3" t="s">
        <v>62</v>
      </c>
      <c r="D399" s="3" t="s">
        <v>63</v>
      </c>
      <c r="E399" s="3" t="s">
        <v>64</v>
      </c>
      <c r="F399" s="3" t="s">
        <v>38</v>
      </c>
      <c r="G399" s="3" t="s">
        <v>39</v>
      </c>
      <c r="H399" s="3" t="s">
        <v>51</v>
      </c>
      <c r="I399" s="3" t="s">
        <v>52</v>
      </c>
      <c r="J399" s="3" t="s">
        <v>27</v>
      </c>
      <c r="K399" s="3" t="s">
        <v>53</v>
      </c>
      <c r="L399" s="3" t="s">
        <v>40</v>
      </c>
      <c r="M399" s="3" t="s">
        <v>38</v>
      </c>
      <c r="N399" s="4" t="n">
        <v>96</v>
      </c>
      <c r="O399" s="5" t="n">
        <v>21.25</v>
      </c>
      <c r="P399" s="6" t="n">
        <v>0</v>
      </c>
      <c r="Q399" s="5" t="n">
        <f aca="false">N399*O399*(1-P399)</f>
        <v>2040</v>
      </c>
      <c r="R399" s="5" t="n">
        <v>1339.18</v>
      </c>
      <c r="S399" s="6" t="n">
        <f aca="false">IFERROR((Q399-R399)/Q399,0)</f>
        <v>0.343539215686275</v>
      </c>
    </row>
    <row r="400" customFormat="false" ht="15" hidden="false" customHeight="false" outlineLevel="0" collapsed="false">
      <c r="A400" s="2" t="n">
        <v>45661</v>
      </c>
      <c r="B400" s="3" t="s">
        <v>361</v>
      </c>
      <c r="C400" s="3" t="s">
        <v>62</v>
      </c>
      <c r="D400" s="3" t="s">
        <v>63</v>
      </c>
      <c r="E400" s="3" t="s">
        <v>64</v>
      </c>
      <c r="F400" s="3" t="s">
        <v>38</v>
      </c>
      <c r="G400" s="3" t="s">
        <v>39</v>
      </c>
      <c r="H400" s="3" t="s">
        <v>132</v>
      </c>
      <c r="I400" s="3" t="s">
        <v>133</v>
      </c>
      <c r="J400" s="3" t="s">
        <v>27</v>
      </c>
      <c r="K400" s="3" t="s">
        <v>28</v>
      </c>
      <c r="L400" s="3" t="s">
        <v>40</v>
      </c>
      <c r="M400" s="3" t="s">
        <v>38</v>
      </c>
      <c r="N400" s="4" t="n">
        <v>120</v>
      </c>
      <c r="O400" s="5" t="n">
        <v>14.31</v>
      </c>
      <c r="P400" s="6" t="n">
        <v>0</v>
      </c>
      <c r="Q400" s="5" t="n">
        <f aca="false">N400*O400*(1-P400)</f>
        <v>1717.2</v>
      </c>
      <c r="R400" s="5" t="n">
        <v>992.1</v>
      </c>
      <c r="S400" s="6" t="n">
        <f aca="false">IFERROR((Q400-R400)/Q400,0)</f>
        <v>0.422257162823201</v>
      </c>
    </row>
    <row r="401" customFormat="false" ht="15" hidden="false" customHeight="false" outlineLevel="0" collapsed="false">
      <c r="A401" s="2" t="n">
        <v>45661</v>
      </c>
      <c r="B401" s="3" t="s">
        <v>361</v>
      </c>
      <c r="C401" s="3" t="s">
        <v>62</v>
      </c>
      <c r="D401" s="3" t="s">
        <v>63</v>
      </c>
      <c r="E401" s="3" t="s">
        <v>64</v>
      </c>
      <c r="F401" s="3" t="s">
        <v>38</v>
      </c>
      <c r="G401" s="3" t="s">
        <v>39</v>
      </c>
      <c r="H401" s="3" t="s">
        <v>126</v>
      </c>
      <c r="I401" s="3" t="s">
        <v>127</v>
      </c>
      <c r="J401" s="3" t="s">
        <v>67</v>
      </c>
      <c r="K401" s="3" t="s">
        <v>128</v>
      </c>
      <c r="L401" s="3" t="s">
        <v>40</v>
      </c>
      <c r="M401" s="3" t="s">
        <v>38</v>
      </c>
      <c r="N401" s="4" t="n">
        <v>72</v>
      </c>
      <c r="O401" s="5" t="n">
        <v>7.02</v>
      </c>
      <c r="P401" s="6" t="n">
        <v>0.1</v>
      </c>
      <c r="Q401" s="5" t="n">
        <f aca="false">N401*O401*(1-P401)</f>
        <v>454.896</v>
      </c>
      <c r="R401" s="5" t="n">
        <v>273.88</v>
      </c>
      <c r="S401" s="6" t="n">
        <f aca="false">IFERROR((Q401-R401)/Q401,0)</f>
        <v>0.397928317681404</v>
      </c>
    </row>
    <row r="402" customFormat="false" ht="15" hidden="false" customHeight="false" outlineLevel="0" collapsed="false">
      <c r="A402" s="2" t="n">
        <v>45661</v>
      </c>
      <c r="B402" s="3" t="s">
        <v>362</v>
      </c>
      <c r="C402" s="3" t="s">
        <v>123</v>
      </c>
      <c r="D402" s="3" t="s">
        <v>124</v>
      </c>
      <c r="E402" s="3" t="s">
        <v>125</v>
      </c>
      <c r="F402" s="3" t="s">
        <v>38</v>
      </c>
      <c r="G402" s="3" t="s">
        <v>39</v>
      </c>
      <c r="H402" s="3" t="s">
        <v>87</v>
      </c>
      <c r="I402" s="3" t="s">
        <v>88</v>
      </c>
      <c r="J402" s="3" t="s">
        <v>89</v>
      </c>
      <c r="K402" s="3" t="s">
        <v>90</v>
      </c>
      <c r="L402" s="3" t="s">
        <v>40</v>
      </c>
      <c r="M402" s="3" t="s">
        <v>38</v>
      </c>
      <c r="N402" s="4" t="n">
        <v>96</v>
      </c>
      <c r="O402" s="5" t="n">
        <v>17.31</v>
      </c>
      <c r="P402" s="6" t="n">
        <v>0</v>
      </c>
      <c r="Q402" s="5" t="n">
        <f aca="false">N402*O402*(1-P402)</f>
        <v>1661.76</v>
      </c>
      <c r="R402" s="5" t="n">
        <v>954.36</v>
      </c>
      <c r="S402" s="6" t="n">
        <f aca="false">IFERROR((Q402-R402)/Q402,0)</f>
        <v>0.425693240901213</v>
      </c>
    </row>
    <row r="403" customFormat="false" ht="15" hidden="false" customHeight="false" outlineLevel="0" collapsed="false">
      <c r="A403" s="2" t="n">
        <v>45661</v>
      </c>
      <c r="B403" s="3" t="s">
        <v>362</v>
      </c>
      <c r="C403" s="3" t="s">
        <v>123</v>
      </c>
      <c r="D403" s="3" t="s">
        <v>124</v>
      </c>
      <c r="E403" s="3" t="s">
        <v>125</v>
      </c>
      <c r="F403" s="3" t="s">
        <v>38</v>
      </c>
      <c r="G403" s="3" t="s">
        <v>39</v>
      </c>
      <c r="H403" s="3" t="s">
        <v>73</v>
      </c>
      <c r="I403" s="3" t="s">
        <v>74</v>
      </c>
      <c r="J403" s="3" t="s">
        <v>48</v>
      </c>
      <c r="K403" s="3" t="s">
        <v>75</v>
      </c>
      <c r="L403" s="3" t="s">
        <v>40</v>
      </c>
      <c r="M403" s="3" t="s">
        <v>38</v>
      </c>
      <c r="N403" s="4" t="n">
        <v>24</v>
      </c>
      <c r="O403" s="5" t="n">
        <v>8.53</v>
      </c>
      <c r="P403" s="6" t="n">
        <v>0.15</v>
      </c>
      <c r="Q403" s="5" t="n">
        <f aca="false">N403*O403*(1-P403)</f>
        <v>174.012</v>
      </c>
      <c r="R403" s="5" t="n">
        <v>128.32</v>
      </c>
      <c r="S403" s="6" t="n">
        <f aca="false">IFERROR((Q403-R403)/Q403,0)</f>
        <v>0.262579592212031</v>
      </c>
    </row>
    <row r="404" customFormat="false" ht="15" hidden="false" customHeight="false" outlineLevel="0" collapsed="false">
      <c r="A404" s="2" t="n">
        <v>45661</v>
      </c>
      <c r="B404" s="3" t="s">
        <v>362</v>
      </c>
      <c r="C404" s="3" t="s">
        <v>123</v>
      </c>
      <c r="D404" s="3" t="s">
        <v>124</v>
      </c>
      <c r="E404" s="3" t="s">
        <v>125</v>
      </c>
      <c r="F404" s="3" t="s">
        <v>38</v>
      </c>
      <c r="G404" s="3" t="s">
        <v>39</v>
      </c>
      <c r="H404" s="3" t="s">
        <v>147</v>
      </c>
      <c r="I404" s="3" t="s">
        <v>148</v>
      </c>
      <c r="J404" s="3" t="s">
        <v>27</v>
      </c>
      <c r="K404" s="3" t="s">
        <v>149</v>
      </c>
      <c r="L404" s="3" t="s">
        <v>40</v>
      </c>
      <c r="M404" s="3" t="s">
        <v>38</v>
      </c>
      <c r="N404" s="4" t="n">
        <v>96</v>
      </c>
      <c r="O404" s="5" t="n">
        <v>4.2</v>
      </c>
      <c r="P404" s="6" t="n">
        <v>0.05</v>
      </c>
      <c r="Q404" s="5" t="n">
        <f aca="false">N404*O404*(1-P404)</f>
        <v>383.04</v>
      </c>
      <c r="R404" s="5" t="n">
        <v>268.36</v>
      </c>
      <c r="S404" s="6" t="n">
        <f aca="false">IFERROR((Q404-R404)/Q404,0)</f>
        <v>0.299394319131161</v>
      </c>
    </row>
    <row r="405" customFormat="false" ht="15" hidden="false" customHeight="false" outlineLevel="0" collapsed="false">
      <c r="A405" s="2" t="n">
        <v>45663</v>
      </c>
      <c r="B405" s="3" t="s">
        <v>363</v>
      </c>
      <c r="C405" s="3" t="s">
        <v>151</v>
      </c>
      <c r="D405" s="3" t="s">
        <v>152</v>
      </c>
      <c r="E405" s="3" t="s">
        <v>153</v>
      </c>
      <c r="F405" s="3" t="s">
        <v>38</v>
      </c>
      <c r="G405" s="3" t="s">
        <v>95</v>
      </c>
      <c r="H405" s="3" t="s">
        <v>132</v>
      </c>
      <c r="I405" s="3" t="s">
        <v>133</v>
      </c>
      <c r="J405" s="3" t="s">
        <v>27</v>
      </c>
      <c r="K405" s="3" t="s">
        <v>28</v>
      </c>
      <c r="L405" s="3" t="s">
        <v>40</v>
      </c>
      <c r="M405" s="3" t="s">
        <v>38</v>
      </c>
      <c r="N405" s="4" t="n">
        <v>72</v>
      </c>
      <c r="O405" s="5" t="n">
        <v>13.83</v>
      </c>
      <c r="P405" s="6" t="n">
        <v>0</v>
      </c>
      <c r="Q405" s="5" t="n">
        <f aca="false">N405*O405*(1-P405)</f>
        <v>995.76</v>
      </c>
      <c r="R405" s="5" t="n">
        <v>586.98</v>
      </c>
      <c r="S405" s="6" t="n">
        <f aca="false">IFERROR((Q405-R405)/Q405,0)</f>
        <v>0.410520607375271</v>
      </c>
    </row>
    <row r="406" customFormat="false" ht="15" hidden="false" customHeight="false" outlineLevel="0" collapsed="false">
      <c r="A406" s="2" t="n">
        <v>45663</v>
      </c>
      <c r="B406" s="3" t="s">
        <v>363</v>
      </c>
      <c r="C406" s="3" t="s">
        <v>151</v>
      </c>
      <c r="D406" s="3" t="s">
        <v>152</v>
      </c>
      <c r="E406" s="3" t="s">
        <v>153</v>
      </c>
      <c r="F406" s="3" t="s">
        <v>38</v>
      </c>
      <c r="G406" s="3" t="s">
        <v>95</v>
      </c>
      <c r="H406" s="3" t="s">
        <v>81</v>
      </c>
      <c r="I406" s="3" t="s">
        <v>82</v>
      </c>
      <c r="J406" s="3" t="s">
        <v>32</v>
      </c>
      <c r="K406" s="3" t="s">
        <v>83</v>
      </c>
      <c r="L406" s="3" t="s">
        <v>40</v>
      </c>
      <c r="M406" s="3" t="s">
        <v>38</v>
      </c>
      <c r="N406" s="4" t="n">
        <v>60</v>
      </c>
      <c r="O406" s="5" t="n">
        <v>21.23</v>
      </c>
      <c r="P406" s="6" t="n">
        <v>0.05</v>
      </c>
      <c r="Q406" s="5" t="n">
        <f aca="false">N406*O406*(1-P406)</f>
        <v>1210.11</v>
      </c>
      <c r="R406" s="5" t="n">
        <v>787.93</v>
      </c>
      <c r="S406" s="6" t="n">
        <f aca="false">IFERROR((Q406-R406)/Q406,0)</f>
        <v>0.348877374784111</v>
      </c>
    </row>
    <row r="407" customFormat="false" ht="15" hidden="false" customHeight="false" outlineLevel="0" collapsed="false">
      <c r="A407" s="2" t="n">
        <v>45665</v>
      </c>
      <c r="B407" s="3" t="s">
        <v>364</v>
      </c>
      <c r="C407" s="3" t="s">
        <v>161</v>
      </c>
      <c r="D407" s="3" t="s">
        <v>162</v>
      </c>
      <c r="E407" s="3" t="s">
        <v>163</v>
      </c>
      <c r="F407" s="3" t="s">
        <v>38</v>
      </c>
      <c r="G407" s="3" t="s">
        <v>24</v>
      </c>
      <c r="H407" s="3" t="s">
        <v>108</v>
      </c>
      <c r="I407" s="3" t="s">
        <v>109</v>
      </c>
      <c r="J407" s="3" t="s">
        <v>48</v>
      </c>
      <c r="K407" s="3" t="s">
        <v>110</v>
      </c>
      <c r="L407" s="3" t="s">
        <v>40</v>
      </c>
      <c r="M407" s="3" t="s">
        <v>38</v>
      </c>
      <c r="N407" s="4" t="n">
        <v>72</v>
      </c>
      <c r="O407" s="5" t="n">
        <v>7.15</v>
      </c>
      <c r="P407" s="6" t="n">
        <v>0</v>
      </c>
      <c r="Q407" s="5" t="n">
        <f aca="false">N407*O407*(1-P407)</f>
        <v>514.8</v>
      </c>
      <c r="R407" s="5" t="n">
        <v>309.86</v>
      </c>
      <c r="S407" s="6" t="n">
        <f aca="false">IFERROR((Q407-R407)/Q407,0)</f>
        <v>0.398096348096348</v>
      </c>
    </row>
    <row r="408" customFormat="false" ht="15" hidden="false" customHeight="false" outlineLevel="0" collapsed="false">
      <c r="A408" s="2" t="n">
        <v>45665</v>
      </c>
      <c r="B408" s="3" t="s">
        <v>364</v>
      </c>
      <c r="C408" s="3" t="s">
        <v>161</v>
      </c>
      <c r="D408" s="3" t="s">
        <v>162</v>
      </c>
      <c r="E408" s="3" t="s">
        <v>163</v>
      </c>
      <c r="F408" s="3" t="s">
        <v>38</v>
      </c>
      <c r="G408" s="3" t="s">
        <v>24</v>
      </c>
      <c r="H408" s="3" t="s">
        <v>73</v>
      </c>
      <c r="I408" s="3" t="s">
        <v>74</v>
      </c>
      <c r="J408" s="3" t="s">
        <v>48</v>
      </c>
      <c r="K408" s="3" t="s">
        <v>75</v>
      </c>
      <c r="L408" s="3" t="s">
        <v>40</v>
      </c>
      <c r="M408" s="3" t="s">
        <v>38</v>
      </c>
      <c r="N408" s="4" t="n">
        <v>12</v>
      </c>
      <c r="O408" s="5" t="n">
        <v>8.81</v>
      </c>
      <c r="P408" s="6" t="n">
        <v>0.1</v>
      </c>
      <c r="Q408" s="5" t="n">
        <f aca="false">N408*O408*(1-P408)</f>
        <v>95.148</v>
      </c>
      <c r="R408" s="5" t="n">
        <v>64.33</v>
      </c>
      <c r="S408" s="6" t="n">
        <f aca="false">IFERROR((Q408-R408)/Q408,0)</f>
        <v>0.32389540505318</v>
      </c>
    </row>
    <row r="409" customFormat="false" ht="15" hidden="false" customHeight="false" outlineLevel="0" collapsed="false">
      <c r="A409" s="2" t="n">
        <v>45665</v>
      </c>
      <c r="B409" s="3" t="s">
        <v>365</v>
      </c>
      <c r="C409" s="3" t="s">
        <v>234</v>
      </c>
      <c r="D409" s="3" t="s">
        <v>235</v>
      </c>
      <c r="E409" s="3" t="s">
        <v>236</v>
      </c>
      <c r="F409" s="3" t="s">
        <v>23</v>
      </c>
      <c r="G409" s="3" t="s">
        <v>24</v>
      </c>
      <c r="H409" s="3" t="s">
        <v>25</v>
      </c>
      <c r="I409" s="3" t="s">
        <v>26</v>
      </c>
      <c r="J409" s="3" t="s">
        <v>27</v>
      </c>
      <c r="K409" s="3" t="s">
        <v>28</v>
      </c>
      <c r="L409" s="3" t="s">
        <v>29</v>
      </c>
      <c r="M409" s="3" t="s">
        <v>23</v>
      </c>
      <c r="N409" s="4" t="n">
        <v>96</v>
      </c>
      <c r="O409" s="5" t="n">
        <v>7.18</v>
      </c>
      <c r="P409" s="6" t="n">
        <v>0</v>
      </c>
      <c r="Q409" s="5" t="n">
        <f aca="false">N409*O409*(1-P409)</f>
        <v>689.28</v>
      </c>
      <c r="R409" s="5" t="n">
        <v>388.59</v>
      </c>
      <c r="S409" s="6" t="n">
        <f aca="false">IFERROR((Q409-R409)/Q409,0)</f>
        <v>0.436237813370474</v>
      </c>
    </row>
    <row r="410" customFormat="false" ht="15" hidden="false" customHeight="false" outlineLevel="0" collapsed="false">
      <c r="A410" s="2" t="n">
        <v>45668</v>
      </c>
      <c r="B410" s="3" t="s">
        <v>366</v>
      </c>
      <c r="C410" s="3" t="s">
        <v>283</v>
      </c>
      <c r="D410" s="3" t="s">
        <v>284</v>
      </c>
      <c r="E410" s="3" t="s">
        <v>285</v>
      </c>
      <c r="F410" s="3" t="s">
        <v>45</v>
      </c>
      <c r="G410" s="3" t="s">
        <v>39</v>
      </c>
      <c r="H410" s="3" t="s">
        <v>73</v>
      </c>
      <c r="I410" s="3" t="s">
        <v>74</v>
      </c>
      <c r="J410" s="3" t="s">
        <v>48</v>
      </c>
      <c r="K410" s="3" t="s">
        <v>75</v>
      </c>
      <c r="L410" s="3" t="s">
        <v>40</v>
      </c>
      <c r="M410" s="3" t="s">
        <v>38</v>
      </c>
      <c r="N410" s="4" t="n">
        <v>6</v>
      </c>
      <c r="O410" s="5" t="n">
        <v>8.83</v>
      </c>
      <c r="P410" s="6" t="n">
        <v>0.05</v>
      </c>
      <c r="Q410" s="5" t="n">
        <f aca="false">N410*O410*(1-P410)</f>
        <v>50.331</v>
      </c>
      <c r="R410" s="5" t="n">
        <v>32.87</v>
      </c>
      <c r="S410" s="6" t="n">
        <f aca="false">IFERROR((Q410-R410)/Q410,0)</f>
        <v>0.346923367308418</v>
      </c>
    </row>
    <row r="411" customFormat="false" ht="15" hidden="false" customHeight="false" outlineLevel="0" collapsed="false">
      <c r="A411" s="2" t="n">
        <v>45668</v>
      </c>
      <c r="B411" s="3" t="s">
        <v>366</v>
      </c>
      <c r="C411" s="3" t="s">
        <v>283</v>
      </c>
      <c r="D411" s="3" t="s">
        <v>284</v>
      </c>
      <c r="E411" s="3" t="s">
        <v>285</v>
      </c>
      <c r="F411" s="3" t="s">
        <v>45</v>
      </c>
      <c r="G411" s="3" t="s">
        <v>39</v>
      </c>
      <c r="H411" s="3" t="s">
        <v>173</v>
      </c>
      <c r="I411" s="3" t="s">
        <v>174</v>
      </c>
      <c r="J411" s="3" t="s">
        <v>27</v>
      </c>
      <c r="K411" s="3" t="s">
        <v>175</v>
      </c>
      <c r="L411" s="3" t="s">
        <v>40</v>
      </c>
      <c r="M411" s="3" t="s">
        <v>38</v>
      </c>
      <c r="N411" s="4" t="n">
        <v>12</v>
      </c>
      <c r="O411" s="5" t="n">
        <v>18.58</v>
      </c>
      <c r="P411" s="6" t="n">
        <v>0</v>
      </c>
      <c r="Q411" s="5" t="n">
        <f aca="false">N411*O411*(1-P411)</f>
        <v>222.96</v>
      </c>
      <c r="R411" s="5" t="n">
        <v>130.47</v>
      </c>
      <c r="S411" s="6" t="n">
        <f aca="false">IFERROR((Q411-R411)/Q411,0)</f>
        <v>0.414827771797632</v>
      </c>
    </row>
    <row r="412" customFormat="false" ht="15" hidden="false" customHeight="false" outlineLevel="0" collapsed="false">
      <c r="A412" s="2" t="n">
        <v>45671</v>
      </c>
      <c r="B412" s="3" t="s">
        <v>367</v>
      </c>
      <c r="C412" s="3" t="s">
        <v>209</v>
      </c>
      <c r="D412" s="3" t="s">
        <v>210</v>
      </c>
      <c r="E412" s="3" t="s">
        <v>211</v>
      </c>
      <c r="F412" s="3" t="s">
        <v>23</v>
      </c>
      <c r="G412" s="3" t="s">
        <v>95</v>
      </c>
      <c r="H412" s="3" t="s">
        <v>126</v>
      </c>
      <c r="I412" s="3" t="s">
        <v>127</v>
      </c>
      <c r="J412" s="3" t="s">
        <v>67</v>
      </c>
      <c r="K412" s="3" t="s">
        <v>128</v>
      </c>
      <c r="L412" s="3" t="s">
        <v>29</v>
      </c>
      <c r="M412" s="3" t="s">
        <v>23</v>
      </c>
      <c r="N412" s="4" t="n">
        <v>12</v>
      </c>
      <c r="O412" s="5" t="n">
        <v>6.68</v>
      </c>
      <c r="P412" s="6" t="n">
        <v>0.15</v>
      </c>
      <c r="Q412" s="5" t="n">
        <f aca="false">N412*O412*(1-P412)</f>
        <v>68.136</v>
      </c>
      <c r="R412" s="5" t="n">
        <v>44.85</v>
      </c>
      <c r="S412" s="6" t="n">
        <f aca="false">IFERROR((Q412-R412)/Q412,0)</f>
        <v>0.341757661148292</v>
      </c>
    </row>
    <row r="413" customFormat="false" ht="15" hidden="false" customHeight="false" outlineLevel="0" collapsed="false">
      <c r="A413" s="2" t="n">
        <v>45671</v>
      </c>
      <c r="B413" s="3" t="s">
        <v>367</v>
      </c>
      <c r="C413" s="3" t="s">
        <v>209</v>
      </c>
      <c r="D413" s="3" t="s">
        <v>210</v>
      </c>
      <c r="E413" s="3" t="s">
        <v>211</v>
      </c>
      <c r="F413" s="3" t="s">
        <v>23</v>
      </c>
      <c r="G413" s="3" t="s">
        <v>95</v>
      </c>
      <c r="H413" s="3" t="s">
        <v>182</v>
      </c>
      <c r="I413" s="3" t="s">
        <v>183</v>
      </c>
      <c r="J413" s="3" t="s">
        <v>67</v>
      </c>
      <c r="K413" s="3" t="s">
        <v>184</v>
      </c>
      <c r="L413" s="3" t="s">
        <v>29</v>
      </c>
      <c r="M413" s="3" t="s">
        <v>23</v>
      </c>
      <c r="N413" s="4" t="n">
        <v>6</v>
      </c>
      <c r="O413" s="5" t="n">
        <v>11.69</v>
      </c>
      <c r="P413" s="6" t="n">
        <v>0</v>
      </c>
      <c r="Q413" s="5" t="n">
        <f aca="false">N413*O413*(1-P413)</f>
        <v>70.14</v>
      </c>
      <c r="R413" s="5" t="n">
        <v>46.81</v>
      </c>
      <c r="S413" s="6" t="n">
        <f aca="false">IFERROR((Q413-R413)/Q413,0)</f>
        <v>0.332620473339036</v>
      </c>
    </row>
    <row r="414" customFormat="false" ht="15" hidden="false" customHeight="false" outlineLevel="0" collapsed="false">
      <c r="A414" s="2" t="n">
        <v>45671</v>
      </c>
      <c r="B414" s="3" t="s">
        <v>367</v>
      </c>
      <c r="C414" s="3" t="s">
        <v>209</v>
      </c>
      <c r="D414" s="3" t="s">
        <v>210</v>
      </c>
      <c r="E414" s="3" t="s">
        <v>211</v>
      </c>
      <c r="F414" s="3" t="s">
        <v>23</v>
      </c>
      <c r="G414" s="3" t="s">
        <v>95</v>
      </c>
      <c r="H414" s="3" t="s">
        <v>129</v>
      </c>
      <c r="I414" s="3" t="s">
        <v>130</v>
      </c>
      <c r="J414" s="3" t="s">
        <v>67</v>
      </c>
      <c r="K414" s="3" t="s">
        <v>131</v>
      </c>
      <c r="L414" s="3" t="s">
        <v>29</v>
      </c>
      <c r="M414" s="3" t="s">
        <v>23</v>
      </c>
      <c r="N414" s="4" t="n">
        <v>48</v>
      </c>
      <c r="O414" s="5" t="n">
        <v>11.9</v>
      </c>
      <c r="P414" s="6" t="n">
        <v>0.15</v>
      </c>
      <c r="Q414" s="5" t="n">
        <f aca="false">N414*O414*(1-P414)</f>
        <v>485.52</v>
      </c>
      <c r="R414" s="5" t="n">
        <v>334.92</v>
      </c>
      <c r="S414" s="6" t="n">
        <f aca="false">IFERROR((Q414-R414)/Q414,0)</f>
        <v>0.310182896688087</v>
      </c>
    </row>
    <row r="415" customFormat="false" ht="15" hidden="false" customHeight="false" outlineLevel="0" collapsed="false">
      <c r="A415" s="2" t="n">
        <v>45671</v>
      </c>
      <c r="B415" s="3" t="s">
        <v>368</v>
      </c>
      <c r="C415" s="3" t="s">
        <v>102</v>
      </c>
      <c r="D415" s="3" t="s">
        <v>103</v>
      </c>
      <c r="E415" s="3" t="s">
        <v>104</v>
      </c>
      <c r="F415" s="3" t="s">
        <v>105</v>
      </c>
      <c r="G415" s="3" t="s">
        <v>24</v>
      </c>
      <c r="H415" s="3" t="s">
        <v>108</v>
      </c>
      <c r="I415" s="3" t="s">
        <v>109</v>
      </c>
      <c r="J415" s="3" t="s">
        <v>48</v>
      </c>
      <c r="K415" s="3" t="s">
        <v>110</v>
      </c>
      <c r="L415" s="3" t="s">
        <v>106</v>
      </c>
      <c r="M415" s="3" t="s">
        <v>107</v>
      </c>
      <c r="N415" s="4" t="n">
        <v>12</v>
      </c>
      <c r="O415" s="5" t="n">
        <v>7.72</v>
      </c>
      <c r="P415" s="6" t="n">
        <v>0.05</v>
      </c>
      <c r="Q415" s="5" t="n">
        <f aca="false">N415*O415*(1-P415)</f>
        <v>88.008</v>
      </c>
      <c r="R415" s="5" t="n">
        <v>51.85</v>
      </c>
      <c r="S415" s="6" t="n">
        <f aca="false">IFERROR((Q415-R415)/Q415,0)</f>
        <v>0.410849013726025</v>
      </c>
    </row>
    <row r="416" customFormat="false" ht="15" hidden="false" customHeight="false" outlineLevel="0" collapsed="false">
      <c r="A416" s="2" t="n">
        <v>45671</v>
      </c>
      <c r="B416" s="3" t="s">
        <v>368</v>
      </c>
      <c r="C416" s="3" t="s">
        <v>102</v>
      </c>
      <c r="D416" s="3" t="s">
        <v>103</v>
      </c>
      <c r="E416" s="3" t="s">
        <v>104</v>
      </c>
      <c r="F416" s="3" t="s">
        <v>105</v>
      </c>
      <c r="G416" s="3" t="s">
        <v>24</v>
      </c>
      <c r="H416" s="3" t="s">
        <v>30</v>
      </c>
      <c r="I416" s="3" t="s">
        <v>31</v>
      </c>
      <c r="J416" s="3" t="s">
        <v>32</v>
      </c>
      <c r="K416" s="3" t="s">
        <v>33</v>
      </c>
      <c r="L416" s="3" t="s">
        <v>106</v>
      </c>
      <c r="M416" s="3" t="s">
        <v>107</v>
      </c>
      <c r="N416" s="4" t="n">
        <v>12</v>
      </c>
      <c r="O416" s="5" t="n">
        <v>25.36</v>
      </c>
      <c r="P416" s="6" t="n">
        <v>0</v>
      </c>
      <c r="Q416" s="5" t="n">
        <f aca="false">N416*O416*(1-P416)</f>
        <v>304.32</v>
      </c>
      <c r="R416" s="5" t="n">
        <v>180.05</v>
      </c>
      <c r="S416" s="6" t="n">
        <f aca="false">IFERROR((Q416-R416)/Q416,0)</f>
        <v>0.408353049421661</v>
      </c>
    </row>
    <row r="417" customFormat="false" ht="15" hidden="false" customHeight="false" outlineLevel="0" collapsed="false">
      <c r="A417" s="2" t="n">
        <v>45671</v>
      </c>
      <c r="B417" s="3" t="s">
        <v>369</v>
      </c>
      <c r="C417" s="3" t="s">
        <v>20</v>
      </c>
      <c r="D417" s="3" t="s">
        <v>21</v>
      </c>
      <c r="E417" s="3" t="s">
        <v>22</v>
      </c>
      <c r="F417" s="3" t="s">
        <v>23</v>
      </c>
      <c r="G417" s="3" t="s">
        <v>24</v>
      </c>
      <c r="H417" s="3" t="s">
        <v>141</v>
      </c>
      <c r="I417" s="3" t="s">
        <v>142</v>
      </c>
      <c r="J417" s="3" t="s">
        <v>89</v>
      </c>
      <c r="K417" s="3" t="s">
        <v>100</v>
      </c>
      <c r="L417" s="3" t="s">
        <v>29</v>
      </c>
      <c r="M417" s="3" t="s">
        <v>23</v>
      </c>
      <c r="N417" s="4" t="n">
        <v>120</v>
      </c>
      <c r="O417" s="5" t="n">
        <v>19.64</v>
      </c>
      <c r="P417" s="6" t="n">
        <v>0.05</v>
      </c>
      <c r="Q417" s="5" t="n">
        <f aca="false">N417*O417*(1-P417)</f>
        <v>2238.96</v>
      </c>
      <c r="R417" s="5" t="n">
        <v>1464.78</v>
      </c>
      <c r="S417" s="6" t="n">
        <f aca="false">IFERROR((Q417-R417)/Q417,0)</f>
        <v>0.345776610569193</v>
      </c>
    </row>
    <row r="418" customFormat="false" ht="15" hidden="false" customHeight="false" outlineLevel="0" collapsed="false">
      <c r="A418" s="2" t="n">
        <v>45671</v>
      </c>
      <c r="B418" s="3" t="s">
        <v>369</v>
      </c>
      <c r="C418" s="3" t="s">
        <v>20</v>
      </c>
      <c r="D418" s="3" t="s">
        <v>21</v>
      </c>
      <c r="E418" s="3" t="s">
        <v>22</v>
      </c>
      <c r="F418" s="3" t="s">
        <v>23</v>
      </c>
      <c r="G418" s="3" t="s">
        <v>24</v>
      </c>
      <c r="H418" s="3" t="s">
        <v>171</v>
      </c>
      <c r="I418" s="3" t="s">
        <v>172</v>
      </c>
      <c r="J418" s="3" t="s">
        <v>27</v>
      </c>
      <c r="K418" s="3" t="s">
        <v>140</v>
      </c>
      <c r="L418" s="3" t="s">
        <v>29</v>
      </c>
      <c r="M418" s="3" t="s">
        <v>23</v>
      </c>
      <c r="N418" s="4" t="n">
        <v>48</v>
      </c>
      <c r="O418" s="5" t="n">
        <v>4.5</v>
      </c>
      <c r="P418" s="6" t="n">
        <v>0</v>
      </c>
      <c r="Q418" s="5" t="n">
        <f aca="false">N418*O418*(1-P418)</f>
        <v>216</v>
      </c>
      <c r="R418" s="5" t="n">
        <v>121.09</v>
      </c>
      <c r="S418" s="6" t="n">
        <f aca="false">IFERROR((Q418-R418)/Q418,0)</f>
        <v>0.439398148148148</v>
      </c>
    </row>
    <row r="419" customFormat="false" ht="15" hidden="false" customHeight="false" outlineLevel="0" collapsed="false">
      <c r="A419" s="2" t="n">
        <v>45671</v>
      </c>
      <c r="B419" s="3" t="s">
        <v>369</v>
      </c>
      <c r="C419" s="3" t="s">
        <v>20</v>
      </c>
      <c r="D419" s="3" t="s">
        <v>21</v>
      </c>
      <c r="E419" s="3" t="s">
        <v>22</v>
      </c>
      <c r="F419" s="3" t="s">
        <v>23</v>
      </c>
      <c r="G419" s="3" t="s">
        <v>24</v>
      </c>
      <c r="H419" s="3" t="s">
        <v>129</v>
      </c>
      <c r="I419" s="3" t="s">
        <v>130</v>
      </c>
      <c r="J419" s="3" t="s">
        <v>67</v>
      </c>
      <c r="K419" s="3" t="s">
        <v>131</v>
      </c>
      <c r="L419" s="3" t="s">
        <v>29</v>
      </c>
      <c r="M419" s="3" t="s">
        <v>23</v>
      </c>
      <c r="N419" s="4" t="n">
        <v>60</v>
      </c>
      <c r="O419" s="5" t="n">
        <v>11.42</v>
      </c>
      <c r="P419" s="6" t="n">
        <v>0</v>
      </c>
      <c r="Q419" s="5" t="n">
        <f aca="false">N419*O419*(1-P419)</f>
        <v>685.2</v>
      </c>
      <c r="R419" s="5" t="n">
        <v>412.62</v>
      </c>
      <c r="S419" s="6" t="n">
        <f aca="false">IFERROR((Q419-R419)/Q419,0)</f>
        <v>0.397810858143608</v>
      </c>
    </row>
    <row r="420" customFormat="false" ht="15" hidden="false" customHeight="false" outlineLevel="0" collapsed="false">
      <c r="A420" s="2" t="n">
        <v>45671</v>
      </c>
      <c r="B420" s="3" t="s">
        <v>369</v>
      </c>
      <c r="C420" s="3" t="s">
        <v>20</v>
      </c>
      <c r="D420" s="3" t="s">
        <v>21</v>
      </c>
      <c r="E420" s="3" t="s">
        <v>22</v>
      </c>
      <c r="F420" s="3" t="s">
        <v>23</v>
      </c>
      <c r="G420" s="3" t="s">
        <v>24</v>
      </c>
      <c r="H420" s="3" t="s">
        <v>138</v>
      </c>
      <c r="I420" s="3" t="s">
        <v>139</v>
      </c>
      <c r="J420" s="3" t="s">
        <v>27</v>
      </c>
      <c r="K420" s="3" t="s">
        <v>140</v>
      </c>
      <c r="L420" s="3" t="s">
        <v>29</v>
      </c>
      <c r="M420" s="3" t="s">
        <v>23</v>
      </c>
      <c r="N420" s="4" t="n">
        <v>96</v>
      </c>
      <c r="O420" s="5" t="n">
        <v>3.76</v>
      </c>
      <c r="P420" s="6" t="n">
        <v>0</v>
      </c>
      <c r="Q420" s="5" t="n">
        <f aca="false">N420*O420*(1-P420)</f>
        <v>360.96</v>
      </c>
      <c r="R420" s="5" t="n">
        <v>220.71</v>
      </c>
      <c r="S420" s="6" t="n">
        <f aca="false">IFERROR((Q420-R420)/Q420,0)</f>
        <v>0.388547207446808</v>
      </c>
    </row>
    <row r="421" customFormat="false" ht="15" hidden="false" customHeight="false" outlineLevel="0" collapsed="false">
      <c r="A421" s="2" t="n">
        <v>45671</v>
      </c>
      <c r="B421" s="3" t="s">
        <v>370</v>
      </c>
      <c r="C421" s="3" t="s">
        <v>276</v>
      </c>
      <c r="D421" s="3" t="s">
        <v>277</v>
      </c>
      <c r="E421" s="3" t="s">
        <v>278</v>
      </c>
      <c r="F421" s="3" t="s">
        <v>38</v>
      </c>
      <c r="G421" s="3" t="s">
        <v>80</v>
      </c>
      <c r="H421" s="3" t="s">
        <v>138</v>
      </c>
      <c r="I421" s="3" t="s">
        <v>139</v>
      </c>
      <c r="J421" s="3" t="s">
        <v>27</v>
      </c>
      <c r="K421" s="3" t="s">
        <v>140</v>
      </c>
      <c r="L421" s="3" t="s">
        <v>40</v>
      </c>
      <c r="M421" s="3" t="s">
        <v>38</v>
      </c>
      <c r="N421" s="4" t="n">
        <v>48</v>
      </c>
      <c r="O421" s="5" t="n">
        <v>3.72</v>
      </c>
      <c r="P421" s="6" t="n">
        <v>0.1</v>
      </c>
      <c r="Q421" s="5" t="n">
        <f aca="false">N421*O421*(1-P421)</f>
        <v>160.704</v>
      </c>
      <c r="R421" s="5" t="n">
        <v>109.7</v>
      </c>
      <c r="S421" s="6" t="n">
        <f aca="false">IFERROR((Q421-R421)/Q421,0)</f>
        <v>0.317378534448427</v>
      </c>
    </row>
    <row r="422" customFormat="false" ht="15" hidden="false" customHeight="false" outlineLevel="0" collapsed="false">
      <c r="A422" s="2" t="n">
        <v>45671</v>
      </c>
      <c r="B422" s="3" t="s">
        <v>371</v>
      </c>
      <c r="C422" s="3" t="s">
        <v>283</v>
      </c>
      <c r="D422" s="3" t="s">
        <v>284</v>
      </c>
      <c r="E422" s="3" t="s">
        <v>285</v>
      </c>
      <c r="F422" s="3" t="s">
        <v>45</v>
      </c>
      <c r="G422" s="3" t="s">
        <v>39</v>
      </c>
      <c r="H422" s="3" t="s">
        <v>129</v>
      </c>
      <c r="I422" s="3" t="s">
        <v>130</v>
      </c>
      <c r="J422" s="3" t="s">
        <v>67</v>
      </c>
      <c r="K422" s="3" t="s">
        <v>131</v>
      </c>
      <c r="L422" s="3" t="s">
        <v>50</v>
      </c>
      <c r="M422" s="3" t="s">
        <v>45</v>
      </c>
      <c r="N422" s="4" t="n">
        <v>120</v>
      </c>
      <c r="O422" s="5" t="n">
        <v>12.26</v>
      </c>
      <c r="P422" s="6" t="n">
        <v>0</v>
      </c>
      <c r="Q422" s="5" t="n">
        <f aca="false">N422*O422*(1-P422)</f>
        <v>1471.2</v>
      </c>
      <c r="R422" s="5" t="n">
        <v>836.53</v>
      </c>
      <c r="S422" s="6" t="n">
        <f aca="false">IFERROR((Q422-R422)/Q422,0)</f>
        <v>0.43139613920609</v>
      </c>
    </row>
    <row r="423" customFormat="false" ht="15" hidden="false" customHeight="false" outlineLevel="0" collapsed="false">
      <c r="A423" s="2" t="n">
        <v>45671</v>
      </c>
      <c r="B423" s="3" t="s">
        <v>372</v>
      </c>
      <c r="C423" s="3" t="s">
        <v>228</v>
      </c>
      <c r="D423" s="3" t="s">
        <v>124</v>
      </c>
      <c r="E423" s="3" t="s">
        <v>229</v>
      </c>
      <c r="F423" s="3" t="s">
        <v>45</v>
      </c>
      <c r="G423" s="3" t="s">
        <v>39</v>
      </c>
      <c r="H423" s="3" t="s">
        <v>171</v>
      </c>
      <c r="I423" s="3" t="s">
        <v>172</v>
      </c>
      <c r="J423" s="3" t="s">
        <v>27</v>
      </c>
      <c r="K423" s="3" t="s">
        <v>140</v>
      </c>
      <c r="L423" s="3" t="s">
        <v>50</v>
      </c>
      <c r="M423" s="3" t="s">
        <v>45</v>
      </c>
      <c r="N423" s="4" t="n">
        <v>24</v>
      </c>
      <c r="O423" s="5" t="n">
        <v>4.34</v>
      </c>
      <c r="P423" s="6" t="n">
        <v>0</v>
      </c>
      <c r="Q423" s="5" t="n">
        <f aca="false">N423*O423*(1-P423)</f>
        <v>104.16</v>
      </c>
      <c r="R423" s="5" t="n">
        <v>59.99</v>
      </c>
      <c r="S423" s="6" t="n">
        <f aca="false">IFERROR((Q423-R423)/Q423,0)</f>
        <v>0.424059139784946</v>
      </c>
    </row>
    <row r="424" customFormat="false" ht="15" hidden="false" customHeight="false" outlineLevel="0" collapsed="false">
      <c r="A424" s="2" t="n">
        <v>45671</v>
      </c>
      <c r="B424" s="3" t="s">
        <v>372</v>
      </c>
      <c r="C424" s="3" t="s">
        <v>228</v>
      </c>
      <c r="D424" s="3" t="s">
        <v>124</v>
      </c>
      <c r="E424" s="3" t="s">
        <v>229</v>
      </c>
      <c r="F424" s="3" t="s">
        <v>45</v>
      </c>
      <c r="G424" s="3" t="s">
        <v>39</v>
      </c>
      <c r="H424" s="3" t="s">
        <v>147</v>
      </c>
      <c r="I424" s="3" t="s">
        <v>148</v>
      </c>
      <c r="J424" s="3" t="s">
        <v>27</v>
      </c>
      <c r="K424" s="3" t="s">
        <v>149</v>
      </c>
      <c r="L424" s="3" t="s">
        <v>50</v>
      </c>
      <c r="M424" s="3" t="s">
        <v>45</v>
      </c>
      <c r="N424" s="4" t="n">
        <v>60</v>
      </c>
      <c r="O424" s="5" t="n">
        <v>4.26</v>
      </c>
      <c r="P424" s="6" t="n">
        <v>0</v>
      </c>
      <c r="Q424" s="5" t="n">
        <f aca="false">N424*O424*(1-P424)</f>
        <v>255.6</v>
      </c>
      <c r="R424" s="5" t="n">
        <v>169.68</v>
      </c>
      <c r="S424" s="6" t="n">
        <f aca="false">IFERROR((Q424-R424)/Q424,0)</f>
        <v>0.336150234741784</v>
      </c>
    </row>
    <row r="425" customFormat="false" ht="15" hidden="false" customHeight="false" outlineLevel="0" collapsed="false">
      <c r="A425" s="2" t="n">
        <v>45672</v>
      </c>
      <c r="B425" s="3" t="s">
        <v>373</v>
      </c>
      <c r="C425" s="3" t="s">
        <v>42</v>
      </c>
      <c r="D425" s="3" t="s">
        <v>43</v>
      </c>
      <c r="E425" s="3" t="s">
        <v>44</v>
      </c>
      <c r="F425" s="3" t="s">
        <v>45</v>
      </c>
      <c r="G425" s="3" t="s">
        <v>24</v>
      </c>
      <c r="H425" s="3" t="s">
        <v>65</v>
      </c>
      <c r="I425" s="3" t="s">
        <v>66</v>
      </c>
      <c r="J425" s="3" t="s">
        <v>67</v>
      </c>
      <c r="K425" s="3" t="s">
        <v>68</v>
      </c>
      <c r="L425" s="3" t="s">
        <v>50</v>
      </c>
      <c r="M425" s="3" t="s">
        <v>45</v>
      </c>
      <c r="N425" s="4" t="n">
        <v>48</v>
      </c>
      <c r="O425" s="5" t="n">
        <v>29.49</v>
      </c>
      <c r="P425" s="6" t="n">
        <v>0</v>
      </c>
      <c r="Q425" s="5" t="n">
        <f aca="false">N425*O425*(1-P425)</f>
        <v>1415.52</v>
      </c>
      <c r="R425" s="5" t="n">
        <v>831.79</v>
      </c>
      <c r="S425" s="6" t="n">
        <f aca="false">IFERROR((Q425-R425)/Q425,0)</f>
        <v>0.412378489883576</v>
      </c>
    </row>
    <row r="426" customFormat="false" ht="15" hidden="false" customHeight="false" outlineLevel="0" collapsed="false">
      <c r="A426" s="2" t="n">
        <v>45672</v>
      </c>
      <c r="B426" s="3" t="s">
        <v>373</v>
      </c>
      <c r="C426" s="3" t="s">
        <v>42</v>
      </c>
      <c r="D426" s="3" t="s">
        <v>43</v>
      </c>
      <c r="E426" s="3" t="s">
        <v>44</v>
      </c>
      <c r="F426" s="3" t="s">
        <v>45</v>
      </c>
      <c r="G426" s="3" t="s">
        <v>24</v>
      </c>
      <c r="H426" s="3" t="s">
        <v>73</v>
      </c>
      <c r="I426" s="3" t="s">
        <v>74</v>
      </c>
      <c r="J426" s="3" t="s">
        <v>48</v>
      </c>
      <c r="K426" s="3" t="s">
        <v>75</v>
      </c>
      <c r="L426" s="3" t="s">
        <v>50</v>
      </c>
      <c r="M426" s="3" t="s">
        <v>45</v>
      </c>
      <c r="N426" s="4" t="n">
        <v>120</v>
      </c>
      <c r="O426" s="5" t="n">
        <v>8.55</v>
      </c>
      <c r="P426" s="6" t="n">
        <v>0</v>
      </c>
      <c r="Q426" s="5" t="n">
        <f aca="false">N426*O426*(1-P426)</f>
        <v>1026</v>
      </c>
      <c r="R426" s="5" t="n">
        <v>637.43</v>
      </c>
      <c r="S426" s="6" t="n">
        <f aca="false">IFERROR((Q426-R426)/Q426,0)</f>
        <v>0.378723196881092</v>
      </c>
    </row>
    <row r="427" customFormat="false" ht="15" hidden="false" customHeight="false" outlineLevel="0" collapsed="false">
      <c r="A427" s="2" t="n">
        <v>45672</v>
      </c>
      <c r="B427" s="3" t="s">
        <v>374</v>
      </c>
      <c r="C427" s="3" t="s">
        <v>35</v>
      </c>
      <c r="D427" s="3" t="s">
        <v>36</v>
      </c>
      <c r="E427" s="3" t="s">
        <v>37</v>
      </c>
      <c r="F427" s="3" t="s">
        <v>38</v>
      </c>
      <c r="G427" s="3" t="s">
        <v>39</v>
      </c>
      <c r="H427" s="3" t="s">
        <v>96</v>
      </c>
      <c r="I427" s="3" t="s">
        <v>97</v>
      </c>
      <c r="J427" s="3" t="s">
        <v>48</v>
      </c>
      <c r="K427" s="3" t="s">
        <v>75</v>
      </c>
      <c r="L427" s="3" t="s">
        <v>40</v>
      </c>
      <c r="M427" s="3" t="s">
        <v>38</v>
      </c>
      <c r="N427" s="4" t="n">
        <v>96</v>
      </c>
      <c r="O427" s="5" t="n">
        <v>8.34</v>
      </c>
      <c r="P427" s="6" t="n">
        <v>0</v>
      </c>
      <c r="Q427" s="5" t="n">
        <f aca="false">N427*O427*(1-P427)</f>
        <v>800.64</v>
      </c>
      <c r="R427" s="5" t="n">
        <v>464.53</v>
      </c>
      <c r="S427" s="6" t="n">
        <f aca="false">IFERROR((Q427-R427)/Q427,0)</f>
        <v>0.419801658673062</v>
      </c>
    </row>
    <row r="428" customFormat="false" ht="15" hidden="false" customHeight="false" outlineLevel="0" collapsed="false">
      <c r="A428" s="2" t="n">
        <v>45672</v>
      </c>
      <c r="B428" s="3" t="s">
        <v>374</v>
      </c>
      <c r="C428" s="3" t="s">
        <v>35</v>
      </c>
      <c r="D428" s="3" t="s">
        <v>36</v>
      </c>
      <c r="E428" s="3" t="s">
        <v>37</v>
      </c>
      <c r="F428" s="3" t="s">
        <v>38</v>
      </c>
      <c r="G428" s="3" t="s">
        <v>39</v>
      </c>
      <c r="H428" s="3" t="s">
        <v>51</v>
      </c>
      <c r="I428" s="3" t="s">
        <v>52</v>
      </c>
      <c r="J428" s="3" t="s">
        <v>27</v>
      </c>
      <c r="K428" s="3" t="s">
        <v>53</v>
      </c>
      <c r="L428" s="3" t="s">
        <v>40</v>
      </c>
      <c r="M428" s="3" t="s">
        <v>38</v>
      </c>
      <c r="N428" s="4" t="n">
        <v>96</v>
      </c>
      <c r="O428" s="5" t="n">
        <v>23.37</v>
      </c>
      <c r="P428" s="6" t="n">
        <v>0.15</v>
      </c>
      <c r="Q428" s="5" t="n">
        <f aca="false">N428*O428*(1-P428)</f>
        <v>1906.992</v>
      </c>
      <c r="R428" s="5" t="n">
        <v>1363.74</v>
      </c>
      <c r="S428" s="6" t="n">
        <f aca="false">IFERROR((Q428-R428)/Q428,0)</f>
        <v>0.284873769790329</v>
      </c>
    </row>
    <row r="429" customFormat="false" ht="15" hidden="false" customHeight="false" outlineLevel="0" collapsed="false">
      <c r="A429" s="2" t="n">
        <v>45672</v>
      </c>
      <c r="B429" s="3" t="s">
        <v>374</v>
      </c>
      <c r="C429" s="3" t="s">
        <v>35</v>
      </c>
      <c r="D429" s="3" t="s">
        <v>36</v>
      </c>
      <c r="E429" s="3" t="s">
        <v>37</v>
      </c>
      <c r="F429" s="3" t="s">
        <v>38</v>
      </c>
      <c r="G429" s="3" t="s">
        <v>39</v>
      </c>
      <c r="H429" s="3" t="s">
        <v>46</v>
      </c>
      <c r="I429" s="3" t="s">
        <v>47</v>
      </c>
      <c r="J429" s="3" t="s">
        <v>48</v>
      </c>
      <c r="K429" s="3" t="s">
        <v>49</v>
      </c>
      <c r="L429" s="3" t="s">
        <v>40</v>
      </c>
      <c r="M429" s="3" t="s">
        <v>38</v>
      </c>
      <c r="N429" s="4" t="n">
        <v>24</v>
      </c>
      <c r="O429" s="5" t="n">
        <v>14.42</v>
      </c>
      <c r="P429" s="6" t="n">
        <v>0.15</v>
      </c>
      <c r="Q429" s="5" t="n">
        <f aca="false">N429*O429*(1-P429)</f>
        <v>294.168</v>
      </c>
      <c r="R429" s="5" t="n">
        <v>224.73</v>
      </c>
      <c r="S429" s="6" t="n">
        <f aca="false">IFERROR((Q429-R429)/Q429,0)</f>
        <v>0.236048788447418</v>
      </c>
    </row>
    <row r="430" customFormat="false" ht="15" hidden="false" customHeight="false" outlineLevel="0" collapsed="false">
      <c r="A430" s="2" t="n">
        <v>45672</v>
      </c>
      <c r="B430" s="3" t="s">
        <v>374</v>
      </c>
      <c r="C430" s="3" t="s">
        <v>35</v>
      </c>
      <c r="D430" s="3" t="s">
        <v>36</v>
      </c>
      <c r="E430" s="3" t="s">
        <v>37</v>
      </c>
      <c r="F430" s="3" t="s">
        <v>38</v>
      </c>
      <c r="G430" s="3" t="s">
        <v>39</v>
      </c>
      <c r="H430" s="3" t="s">
        <v>65</v>
      </c>
      <c r="I430" s="3" t="s">
        <v>66</v>
      </c>
      <c r="J430" s="3" t="s">
        <v>67</v>
      </c>
      <c r="K430" s="3" t="s">
        <v>68</v>
      </c>
      <c r="L430" s="3" t="s">
        <v>40</v>
      </c>
      <c r="M430" s="3" t="s">
        <v>38</v>
      </c>
      <c r="N430" s="4" t="n">
        <v>6</v>
      </c>
      <c r="O430" s="5" t="n">
        <v>27.01</v>
      </c>
      <c r="P430" s="6" t="n">
        <v>0</v>
      </c>
      <c r="Q430" s="5" t="n">
        <f aca="false">N430*O430*(1-P430)</f>
        <v>162.06</v>
      </c>
      <c r="R430" s="5" t="n">
        <v>104.59</v>
      </c>
      <c r="S430" s="6" t="n">
        <f aca="false">IFERROR((Q430-R430)/Q430,0)</f>
        <v>0.354621745032704</v>
      </c>
    </row>
    <row r="431" customFormat="false" ht="15" hidden="false" customHeight="false" outlineLevel="0" collapsed="false">
      <c r="A431" s="2" t="n">
        <v>45677</v>
      </c>
      <c r="B431" s="3" t="s">
        <v>375</v>
      </c>
      <c r="C431" s="3" t="s">
        <v>253</v>
      </c>
      <c r="D431" s="3" t="s">
        <v>254</v>
      </c>
      <c r="E431" s="3" t="s">
        <v>255</v>
      </c>
      <c r="F431" s="3" t="s">
        <v>38</v>
      </c>
      <c r="G431" s="3" t="s">
        <v>95</v>
      </c>
      <c r="H431" s="3" t="s">
        <v>189</v>
      </c>
      <c r="I431" s="3" t="s">
        <v>190</v>
      </c>
      <c r="J431" s="3" t="s">
        <v>27</v>
      </c>
      <c r="K431" s="3" t="s">
        <v>149</v>
      </c>
      <c r="L431" s="3" t="s">
        <v>106</v>
      </c>
      <c r="M431" s="3" t="s">
        <v>107</v>
      </c>
      <c r="N431" s="4" t="n">
        <v>6</v>
      </c>
      <c r="O431" s="5" t="n">
        <v>8.89</v>
      </c>
      <c r="P431" s="6" t="n">
        <v>0</v>
      </c>
      <c r="Q431" s="5" t="n">
        <f aca="false">N431*O431*(1-P431)</f>
        <v>53.34</v>
      </c>
      <c r="R431" s="5" t="n">
        <v>34.81</v>
      </c>
      <c r="S431" s="6" t="n">
        <f aca="false">IFERROR((Q431-R431)/Q431,0)</f>
        <v>0.347394075740532</v>
      </c>
    </row>
    <row r="432" customFormat="false" ht="15" hidden="false" customHeight="false" outlineLevel="0" collapsed="false">
      <c r="A432" s="2" t="n">
        <v>45677</v>
      </c>
      <c r="B432" s="3" t="s">
        <v>375</v>
      </c>
      <c r="C432" s="3" t="s">
        <v>253</v>
      </c>
      <c r="D432" s="3" t="s">
        <v>254</v>
      </c>
      <c r="E432" s="3" t="s">
        <v>255</v>
      </c>
      <c r="F432" s="3" t="s">
        <v>38</v>
      </c>
      <c r="G432" s="3" t="s">
        <v>95</v>
      </c>
      <c r="H432" s="3" t="s">
        <v>30</v>
      </c>
      <c r="I432" s="3" t="s">
        <v>31</v>
      </c>
      <c r="J432" s="3" t="s">
        <v>32</v>
      </c>
      <c r="K432" s="3" t="s">
        <v>33</v>
      </c>
      <c r="L432" s="3" t="s">
        <v>106</v>
      </c>
      <c r="M432" s="3" t="s">
        <v>107</v>
      </c>
      <c r="N432" s="4" t="n">
        <v>48</v>
      </c>
      <c r="O432" s="5" t="n">
        <v>24.29</v>
      </c>
      <c r="P432" s="6" t="n">
        <v>0.05</v>
      </c>
      <c r="Q432" s="5" t="n">
        <f aca="false">N432*O432*(1-P432)</f>
        <v>1107.624</v>
      </c>
      <c r="R432" s="5" t="n">
        <v>718.94</v>
      </c>
      <c r="S432" s="6" t="n">
        <f aca="false">IFERROR((Q432-R432)/Q432,0)</f>
        <v>0.350916917654366</v>
      </c>
    </row>
    <row r="433" customFormat="false" ht="15" hidden="false" customHeight="false" outlineLevel="0" collapsed="false">
      <c r="A433" s="2" t="n">
        <v>45677</v>
      </c>
      <c r="B433" s="3" t="s">
        <v>375</v>
      </c>
      <c r="C433" s="3" t="s">
        <v>253</v>
      </c>
      <c r="D433" s="3" t="s">
        <v>254</v>
      </c>
      <c r="E433" s="3" t="s">
        <v>255</v>
      </c>
      <c r="F433" s="3" t="s">
        <v>38</v>
      </c>
      <c r="G433" s="3" t="s">
        <v>95</v>
      </c>
      <c r="H433" s="3" t="s">
        <v>171</v>
      </c>
      <c r="I433" s="3" t="s">
        <v>172</v>
      </c>
      <c r="J433" s="3" t="s">
        <v>27</v>
      </c>
      <c r="K433" s="3" t="s">
        <v>140</v>
      </c>
      <c r="L433" s="3" t="s">
        <v>106</v>
      </c>
      <c r="M433" s="3" t="s">
        <v>107</v>
      </c>
      <c r="N433" s="4" t="n">
        <v>24</v>
      </c>
      <c r="O433" s="5" t="n">
        <v>4.1</v>
      </c>
      <c r="P433" s="6" t="n">
        <v>0</v>
      </c>
      <c r="Q433" s="5" t="n">
        <f aca="false">N433*O433*(1-P433)</f>
        <v>98.4</v>
      </c>
      <c r="R433" s="5" t="n">
        <v>59.96</v>
      </c>
      <c r="S433" s="6" t="n">
        <f aca="false">IFERROR((Q433-R433)/Q433,0)</f>
        <v>0.390650406504065</v>
      </c>
    </row>
    <row r="434" customFormat="false" ht="15" hidden="false" customHeight="false" outlineLevel="0" collapsed="false">
      <c r="A434" s="2" t="n">
        <v>45682</v>
      </c>
      <c r="B434" s="3" t="s">
        <v>376</v>
      </c>
      <c r="C434" s="3" t="s">
        <v>102</v>
      </c>
      <c r="D434" s="3" t="s">
        <v>103</v>
      </c>
      <c r="E434" s="3" t="s">
        <v>104</v>
      </c>
      <c r="F434" s="3" t="s">
        <v>105</v>
      </c>
      <c r="G434" s="3" t="s">
        <v>24</v>
      </c>
      <c r="H434" s="3" t="s">
        <v>119</v>
      </c>
      <c r="I434" s="3" t="s">
        <v>120</v>
      </c>
      <c r="J434" s="3" t="s">
        <v>89</v>
      </c>
      <c r="K434" s="3" t="s">
        <v>121</v>
      </c>
      <c r="L434" s="3" t="s">
        <v>106</v>
      </c>
      <c r="M434" s="3" t="s">
        <v>107</v>
      </c>
      <c r="N434" s="4" t="n">
        <v>96</v>
      </c>
      <c r="O434" s="5" t="n">
        <v>11.82</v>
      </c>
      <c r="P434" s="6" t="n">
        <v>0.15</v>
      </c>
      <c r="Q434" s="5" t="n">
        <f aca="false">N434*O434*(1-P434)</f>
        <v>964.512</v>
      </c>
      <c r="R434" s="5" t="n">
        <v>640.43</v>
      </c>
      <c r="S434" s="6" t="n">
        <f aca="false">IFERROR((Q434-R434)/Q434,0)</f>
        <v>0.336006187585017</v>
      </c>
    </row>
    <row r="435" customFormat="false" ht="15" hidden="false" customHeight="false" outlineLevel="0" collapsed="false">
      <c r="A435" s="2" t="n">
        <v>45682</v>
      </c>
      <c r="B435" s="3" t="s">
        <v>376</v>
      </c>
      <c r="C435" s="3" t="s">
        <v>102</v>
      </c>
      <c r="D435" s="3" t="s">
        <v>103</v>
      </c>
      <c r="E435" s="3" t="s">
        <v>104</v>
      </c>
      <c r="F435" s="3" t="s">
        <v>105</v>
      </c>
      <c r="G435" s="3" t="s">
        <v>24</v>
      </c>
      <c r="H435" s="3" t="s">
        <v>126</v>
      </c>
      <c r="I435" s="3" t="s">
        <v>127</v>
      </c>
      <c r="J435" s="3" t="s">
        <v>67</v>
      </c>
      <c r="K435" s="3" t="s">
        <v>128</v>
      </c>
      <c r="L435" s="3" t="s">
        <v>106</v>
      </c>
      <c r="M435" s="3" t="s">
        <v>107</v>
      </c>
      <c r="N435" s="4" t="n">
        <v>60</v>
      </c>
      <c r="O435" s="5" t="n">
        <v>6.01</v>
      </c>
      <c r="P435" s="6" t="n">
        <v>0</v>
      </c>
      <c r="Q435" s="5" t="n">
        <f aca="false">N435*O435*(1-P435)</f>
        <v>360.6</v>
      </c>
      <c r="R435" s="5" t="n">
        <v>229.85</v>
      </c>
      <c r="S435" s="6" t="n">
        <f aca="false">IFERROR((Q435-R435)/Q435,0)</f>
        <v>0.362590127565169</v>
      </c>
    </row>
    <row r="436" customFormat="false" ht="15" hidden="false" customHeight="false" outlineLevel="0" collapsed="false">
      <c r="A436" s="2" t="n">
        <v>45682</v>
      </c>
      <c r="B436" s="3" t="s">
        <v>376</v>
      </c>
      <c r="C436" s="3" t="s">
        <v>102</v>
      </c>
      <c r="D436" s="3" t="s">
        <v>103</v>
      </c>
      <c r="E436" s="3" t="s">
        <v>104</v>
      </c>
      <c r="F436" s="3" t="s">
        <v>105</v>
      </c>
      <c r="G436" s="3" t="s">
        <v>24</v>
      </c>
      <c r="H436" s="3" t="s">
        <v>189</v>
      </c>
      <c r="I436" s="3" t="s">
        <v>190</v>
      </c>
      <c r="J436" s="3" t="s">
        <v>27</v>
      </c>
      <c r="K436" s="3" t="s">
        <v>149</v>
      </c>
      <c r="L436" s="3" t="s">
        <v>106</v>
      </c>
      <c r="M436" s="3" t="s">
        <v>107</v>
      </c>
      <c r="N436" s="4" t="n">
        <v>72</v>
      </c>
      <c r="O436" s="5" t="n">
        <v>9.27</v>
      </c>
      <c r="P436" s="6" t="n">
        <v>0</v>
      </c>
      <c r="Q436" s="5" t="n">
        <f aca="false">N436*O436*(1-P436)</f>
        <v>667.44</v>
      </c>
      <c r="R436" s="5" t="n">
        <v>423.78</v>
      </c>
      <c r="S436" s="6" t="n">
        <f aca="false">IFERROR((Q436-R436)/Q436,0)</f>
        <v>0.365066522833513</v>
      </c>
    </row>
    <row r="437" customFormat="false" ht="15" hidden="false" customHeight="false" outlineLevel="0" collapsed="false">
      <c r="A437" s="2" t="n">
        <v>45684</v>
      </c>
      <c r="B437" s="3" t="s">
        <v>377</v>
      </c>
      <c r="C437" s="3" t="s">
        <v>283</v>
      </c>
      <c r="D437" s="3" t="s">
        <v>284</v>
      </c>
      <c r="E437" s="3" t="s">
        <v>285</v>
      </c>
      <c r="F437" s="3" t="s">
        <v>45</v>
      </c>
      <c r="G437" s="3" t="s">
        <v>39</v>
      </c>
      <c r="H437" s="3" t="s">
        <v>112</v>
      </c>
      <c r="I437" s="3" t="s">
        <v>113</v>
      </c>
      <c r="J437" s="3" t="s">
        <v>67</v>
      </c>
      <c r="K437" s="3" t="s">
        <v>114</v>
      </c>
      <c r="L437" s="3" t="s">
        <v>50</v>
      </c>
      <c r="M437" s="3" t="s">
        <v>45</v>
      </c>
      <c r="N437" s="4" t="n">
        <v>60</v>
      </c>
      <c r="O437" s="5" t="n">
        <v>10.34</v>
      </c>
      <c r="P437" s="6" t="n">
        <v>0</v>
      </c>
      <c r="Q437" s="5" t="n">
        <f aca="false">N437*O437*(1-P437)</f>
        <v>620.4</v>
      </c>
      <c r="R437" s="5" t="n">
        <v>354.11</v>
      </c>
      <c r="S437" s="6" t="n">
        <f aca="false">IFERROR((Q437-R437)/Q437,0)</f>
        <v>0.429223081882656</v>
      </c>
    </row>
    <row r="438" customFormat="false" ht="15" hidden="false" customHeight="false" outlineLevel="0" collapsed="false">
      <c r="A438" s="2" t="n">
        <v>45684</v>
      </c>
      <c r="B438" s="3" t="s">
        <v>377</v>
      </c>
      <c r="C438" s="3" t="s">
        <v>283</v>
      </c>
      <c r="D438" s="3" t="s">
        <v>284</v>
      </c>
      <c r="E438" s="3" t="s">
        <v>285</v>
      </c>
      <c r="F438" s="3" t="s">
        <v>45</v>
      </c>
      <c r="G438" s="3" t="s">
        <v>39</v>
      </c>
      <c r="H438" s="3" t="s">
        <v>126</v>
      </c>
      <c r="I438" s="3" t="s">
        <v>127</v>
      </c>
      <c r="J438" s="3" t="s">
        <v>67</v>
      </c>
      <c r="K438" s="3" t="s">
        <v>128</v>
      </c>
      <c r="L438" s="3" t="s">
        <v>50</v>
      </c>
      <c r="M438" s="3" t="s">
        <v>45</v>
      </c>
      <c r="N438" s="4" t="n">
        <v>6</v>
      </c>
      <c r="O438" s="5" t="n">
        <v>6.67</v>
      </c>
      <c r="P438" s="6" t="n">
        <v>0</v>
      </c>
      <c r="Q438" s="5" t="n">
        <f aca="false">N438*O438*(1-P438)</f>
        <v>40.02</v>
      </c>
      <c r="R438" s="5" t="n">
        <v>22.89</v>
      </c>
      <c r="S438" s="6" t="n">
        <f aca="false">IFERROR((Q438-R438)/Q438,0)</f>
        <v>0.428035982008995</v>
      </c>
    </row>
    <row r="439" customFormat="false" ht="15" hidden="false" customHeight="false" outlineLevel="0" collapsed="false">
      <c r="A439" s="2" t="n">
        <v>45684</v>
      </c>
      <c r="B439" s="3" t="s">
        <v>377</v>
      </c>
      <c r="C439" s="3" t="s">
        <v>283</v>
      </c>
      <c r="D439" s="3" t="s">
        <v>284</v>
      </c>
      <c r="E439" s="3" t="s">
        <v>285</v>
      </c>
      <c r="F439" s="3" t="s">
        <v>45</v>
      </c>
      <c r="G439" s="3" t="s">
        <v>39</v>
      </c>
      <c r="H439" s="3" t="s">
        <v>182</v>
      </c>
      <c r="I439" s="3" t="s">
        <v>183</v>
      </c>
      <c r="J439" s="3" t="s">
        <v>67</v>
      </c>
      <c r="K439" s="3" t="s">
        <v>184</v>
      </c>
      <c r="L439" s="3" t="s">
        <v>50</v>
      </c>
      <c r="M439" s="3" t="s">
        <v>45</v>
      </c>
      <c r="N439" s="4" t="n">
        <v>24</v>
      </c>
      <c r="O439" s="5" t="n">
        <v>13.16</v>
      </c>
      <c r="P439" s="6" t="n">
        <v>0</v>
      </c>
      <c r="Q439" s="5" t="n">
        <f aca="false">N439*O439*(1-P439)</f>
        <v>315.84</v>
      </c>
      <c r="R439" s="5" t="n">
        <v>188.86</v>
      </c>
      <c r="S439" s="6" t="n">
        <f aca="false">IFERROR((Q439-R439)/Q439,0)</f>
        <v>0.402039007092199</v>
      </c>
    </row>
    <row r="440" customFormat="false" ht="15" hidden="false" customHeight="false" outlineLevel="0" collapsed="false">
      <c r="A440" s="2" t="n">
        <v>45684</v>
      </c>
      <c r="B440" s="3" t="s">
        <v>377</v>
      </c>
      <c r="C440" s="3" t="s">
        <v>283</v>
      </c>
      <c r="D440" s="3" t="s">
        <v>284</v>
      </c>
      <c r="E440" s="3" t="s">
        <v>285</v>
      </c>
      <c r="F440" s="3" t="s">
        <v>45</v>
      </c>
      <c r="G440" s="3" t="s">
        <v>39</v>
      </c>
      <c r="H440" s="3" t="s">
        <v>138</v>
      </c>
      <c r="I440" s="3" t="s">
        <v>139</v>
      </c>
      <c r="J440" s="3" t="s">
        <v>27</v>
      </c>
      <c r="K440" s="3" t="s">
        <v>140</v>
      </c>
      <c r="L440" s="3" t="s">
        <v>50</v>
      </c>
      <c r="M440" s="3" t="s">
        <v>45</v>
      </c>
      <c r="N440" s="4" t="n">
        <v>72</v>
      </c>
      <c r="O440" s="5" t="n">
        <v>3.91</v>
      </c>
      <c r="P440" s="6" t="n">
        <v>0</v>
      </c>
      <c r="Q440" s="5" t="n">
        <f aca="false">N440*O440*(1-P440)</f>
        <v>281.52</v>
      </c>
      <c r="R440" s="5" t="n">
        <v>168.71</v>
      </c>
      <c r="S440" s="6" t="n">
        <f aca="false">IFERROR((Q440-R440)/Q440,0)</f>
        <v>0.400717533390168</v>
      </c>
    </row>
    <row r="441" customFormat="false" ht="15" hidden="false" customHeight="false" outlineLevel="0" collapsed="false">
      <c r="A441" s="2" t="n">
        <v>45685</v>
      </c>
      <c r="B441" s="3" t="s">
        <v>378</v>
      </c>
      <c r="C441" s="3" t="s">
        <v>209</v>
      </c>
      <c r="D441" s="3" t="s">
        <v>210</v>
      </c>
      <c r="E441" s="3" t="s">
        <v>211</v>
      </c>
      <c r="F441" s="3" t="s">
        <v>23</v>
      </c>
      <c r="G441" s="3" t="s">
        <v>95</v>
      </c>
      <c r="H441" s="3" t="s">
        <v>30</v>
      </c>
      <c r="I441" s="3" t="s">
        <v>31</v>
      </c>
      <c r="J441" s="3" t="s">
        <v>32</v>
      </c>
      <c r="K441" s="3" t="s">
        <v>33</v>
      </c>
      <c r="L441" s="3" t="s">
        <v>29</v>
      </c>
      <c r="M441" s="3" t="s">
        <v>23</v>
      </c>
      <c r="N441" s="4" t="n">
        <v>48</v>
      </c>
      <c r="O441" s="5" t="n">
        <v>24.16</v>
      </c>
      <c r="P441" s="6" t="n">
        <v>0.1</v>
      </c>
      <c r="Q441" s="5" t="n">
        <f aca="false">N441*O441*(1-P441)</f>
        <v>1043.712</v>
      </c>
      <c r="R441" s="5" t="n">
        <v>717.08</v>
      </c>
      <c r="S441" s="6" t="n">
        <f aca="false">IFERROR((Q441-R441)/Q441,0)</f>
        <v>0.312952232033358</v>
      </c>
    </row>
    <row r="442" customFormat="false" ht="15" hidden="false" customHeight="false" outlineLevel="0" collapsed="false">
      <c r="A442" s="2" t="n">
        <v>45685</v>
      </c>
      <c r="B442" s="3" t="s">
        <v>378</v>
      </c>
      <c r="C442" s="3" t="s">
        <v>209</v>
      </c>
      <c r="D442" s="3" t="s">
        <v>210</v>
      </c>
      <c r="E442" s="3" t="s">
        <v>211</v>
      </c>
      <c r="F442" s="3" t="s">
        <v>23</v>
      </c>
      <c r="G442" s="3" t="s">
        <v>95</v>
      </c>
      <c r="H442" s="3" t="s">
        <v>145</v>
      </c>
      <c r="I442" s="3" t="s">
        <v>146</v>
      </c>
      <c r="J442" s="3" t="s">
        <v>32</v>
      </c>
      <c r="K442" s="3" t="s">
        <v>33</v>
      </c>
      <c r="L442" s="3" t="s">
        <v>29</v>
      </c>
      <c r="M442" s="3" t="s">
        <v>23</v>
      </c>
      <c r="N442" s="4" t="n">
        <v>72</v>
      </c>
      <c r="O442" s="5" t="n">
        <v>18.68</v>
      </c>
      <c r="P442" s="6" t="n">
        <v>0</v>
      </c>
      <c r="Q442" s="5" t="n">
        <f aca="false">N442*O442*(1-P442)</f>
        <v>1344.96</v>
      </c>
      <c r="R442" s="5" t="n">
        <v>823.84</v>
      </c>
      <c r="S442" s="6" t="n">
        <f aca="false">IFERROR((Q442-R442)/Q442,0)</f>
        <v>0.387461337140138</v>
      </c>
    </row>
    <row r="443" customFormat="false" ht="15" hidden="false" customHeight="false" outlineLevel="0" collapsed="false">
      <c r="A443" s="2" t="n">
        <v>45686</v>
      </c>
      <c r="B443" s="3" t="s">
        <v>379</v>
      </c>
      <c r="C443" s="3" t="s">
        <v>92</v>
      </c>
      <c r="D443" s="3" t="s">
        <v>93</v>
      </c>
      <c r="E443" s="3" t="s">
        <v>94</v>
      </c>
      <c r="F443" s="3" t="s">
        <v>45</v>
      </c>
      <c r="G443" s="3" t="s">
        <v>95</v>
      </c>
      <c r="H443" s="3" t="s">
        <v>46</v>
      </c>
      <c r="I443" s="3" t="s">
        <v>47</v>
      </c>
      <c r="J443" s="3" t="s">
        <v>48</v>
      </c>
      <c r="K443" s="3" t="s">
        <v>49</v>
      </c>
      <c r="L443" s="3" t="s">
        <v>50</v>
      </c>
      <c r="M443" s="3" t="s">
        <v>45</v>
      </c>
      <c r="N443" s="4" t="n">
        <v>96</v>
      </c>
      <c r="O443" s="5" t="n">
        <v>14.93</v>
      </c>
      <c r="P443" s="6" t="n">
        <v>0</v>
      </c>
      <c r="Q443" s="5" t="n">
        <f aca="false">N443*O443*(1-P443)</f>
        <v>1433.28</v>
      </c>
      <c r="R443" s="5" t="n">
        <v>893.84</v>
      </c>
      <c r="S443" s="6" t="n">
        <f aca="false">IFERROR((Q443-R443)/Q443,0)</f>
        <v>0.376367492743916</v>
      </c>
    </row>
    <row r="444" customFormat="false" ht="15" hidden="false" customHeight="false" outlineLevel="0" collapsed="false">
      <c r="A444" s="2" t="n">
        <v>45689</v>
      </c>
      <c r="B444" s="3" t="s">
        <v>380</v>
      </c>
      <c r="C444" s="3" t="s">
        <v>194</v>
      </c>
      <c r="D444" s="3" t="s">
        <v>195</v>
      </c>
      <c r="E444" s="3" t="s">
        <v>196</v>
      </c>
      <c r="F444" s="3" t="s">
        <v>38</v>
      </c>
      <c r="G444" s="3" t="s">
        <v>39</v>
      </c>
      <c r="H444" s="3" t="s">
        <v>108</v>
      </c>
      <c r="I444" s="3" t="s">
        <v>109</v>
      </c>
      <c r="J444" s="3" t="s">
        <v>48</v>
      </c>
      <c r="K444" s="3" t="s">
        <v>110</v>
      </c>
      <c r="L444" s="3" t="s">
        <v>40</v>
      </c>
      <c r="M444" s="3" t="s">
        <v>38</v>
      </c>
      <c r="N444" s="4" t="n">
        <v>24</v>
      </c>
      <c r="O444" s="5" t="n">
        <v>6.9</v>
      </c>
      <c r="P444" s="6" t="n">
        <v>0</v>
      </c>
      <c r="Q444" s="5" t="n">
        <f aca="false">N444*O444*(1-P444)</f>
        <v>165.6</v>
      </c>
      <c r="R444" s="5" t="n">
        <v>102.19</v>
      </c>
      <c r="S444" s="6" t="n">
        <f aca="false">IFERROR((Q444-R444)/Q444,0)</f>
        <v>0.382910628019324</v>
      </c>
    </row>
    <row r="445" customFormat="false" ht="15" hidden="false" customHeight="false" outlineLevel="0" collapsed="false">
      <c r="A445" s="2" t="n">
        <v>45689</v>
      </c>
      <c r="B445" s="3" t="s">
        <v>380</v>
      </c>
      <c r="C445" s="3" t="s">
        <v>194</v>
      </c>
      <c r="D445" s="3" t="s">
        <v>195</v>
      </c>
      <c r="E445" s="3" t="s">
        <v>196</v>
      </c>
      <c r="F445" s="3" t="s">
        <v>38</v>
      </c>
      <c r="G445" s="3" t="s">
        <v>39</v>
      </c>
      <c r="H445" s="3" t="s">
        <v>129</v>
      </c>
      <c r="I445" s="3" t="s">
        <v>130</v>
      </c>
      <c r="J445" s="3" t="s">
        <v>67</v>
      </c>
      <c r="K445" s="3" t="s">
        <v>131</v>
      </c>
      <c r="L445" s="3" t="s">
        <v>40</v>
      </c>
      <c r="M445" s="3" t="s">
        <v>38</v>
      </c>
      <c r="N445" s="4" t="n">
        <v>24</v>
      </c>
      <c r="O445" s="5" t="n">
        <v>11.98</v>
      </c>
      <c r="P445" s="6" t="n">
        <v>0</v>
      </c>
      <c r="Q445" s="5" t="n">
        <f aca="false">N445*O445*(1-P445)</f>
        <v>287.52</v>
      </c>
      <c r="R445" s="5" t="n">
        <v>165.83</v>
      </c>
      <c r="S445" s="6" t="n">
        <f aca="false">IFERROR((Q445-R445)/Q445,0)</f>
        <v>0.423240122426266</v>
      </c>
    </row>
    <row r="446" customFormat="false" ht="15" hidden="false" customHeight="false" outlineLevel="0" collapsed="false">
      <c r="A446" s="2" t="n">
        <v>45689</v>
      </c>
      <c r="B446" s="3" t="s">
        <v>380</v>
      </c>
      <c r="C446" s="3" t="s">
        <v>194</v>
      </c>
      <c r="D446" s="3" t="s">
        <v>195</v>
      </c>
      <c r="E446" s="3" t="s">
        <v>196</v>
      </c>
      <c r="F446" s="3" t="s">
        <v>38</v>
      </c>
      <c r="G446" s="3" t="s">
        <v>39</v>
      </c>
      <c r="H446" s="3" t="s">
        <v>51</v>
      </c>
      <c r="I446" s="3" t="s">
        <v>52</v>
      </c>
      <c r="J446" s="3" t="s">
        <v>27</v>
      </c>
      <c r="K446" s="3" t="s">
        <v>53</v>
      </c>
      <c r="L446" s="3" t="s">
        <v>40</v>
      </c>
      <c r="M446" s="3" t="s">
        <v>38</v>
      </c>
      <c r="N446" s="4" t="n">
        <v>120</v>
      </c>
      <c r="O446" s="5" t="n">
        <v>22.37</v>
      </c>
      <c r="P446" s="6" t="n">
        <v>0.1</v>
      </c>
      <c r="Q446" s="5" t="n">
        <f aca="false">N446*O446*(1-P446)</f>
        <v>2415.96</v>
      </c>
      <c r="R446" s="5" t="n">
        <v>1692.17</v>
      </c>
      <c r="S446" s="6" t="n">
        <f aca="false">IFERROR((Q446-R446)/Q446,0)</f>
        <v>0.299586913690624</v>
      </c>
    </row>
    <row r="447" customFormat="false" ht="15" hidden="false" customHeight="false" outlineLevel="0" collapsed="false">
      <c r="A447" s="2" t="n">
        <v>45690</v>
      </c>
      <c r="B447" s="3" t="s">
        <v>381</v>
      </c>
      <c r="C447" s="3" t="s">
        <v>167</v>
      </c>
      <c r="D447" s="3" t="s">
        <v>168</v>
      </c>
      <c r="E447" s="3" t="s">
        <v>169</v>
      </c>
      <c r="F447" s="3" t="s">
        <v>170</v>
      </c>
      <c r="G447" s="3" t="s">
        <v>39</v>
      </c>
      <c r="H447" s="3" t="s">
        <v>54</v>
      </c>
      <c r="I447" s="3" t="s">
        <v>55</v>
      </c>
      <c r="J447" s="3" t="s">
        <v>56</v>
      </c>
      <c r="K447" s="3" t="s">
        <v>57</v>
      </c>
      <c r="L447" s="3" t="s">
        <v>106</v>
      </c>
      <c r="M447" s="3" t="s">
        <v>107</v>
      </c>
      <c r="N447" s="4" t="n">
        <v>72</v>
      </c>
      <c r="O447" s="5" t="n">
        <v>4.79</v>
      </c>
      <c r="P447" s="6" t="n">
        <v>0</v>
      </c>
      <c r="Q447" s="5" t="n">
        <f aca="false">N447*O447*(1-P447)</f>
        <v>344.88</v>
      </c>
      <c r="R447" s="5" t="n">
        <v>212.38</v>
      </c>
      <c r="S447" s="6" t="n">
        <f aca="false">IFERROR((Q447-R447)/Q447,0)</f>
        <v>0.384191602876363</v>
      </c>
    </row>
    <row r="448" customFormat="false" ht="15" hidden="false" customHeight="false" outlineLevel="0" collapsed="false">
      <c r="A448" s="2" t="n">
        <v>45690</v>
      </c>
      <c r="B448" s="3" t="s">
        <v>382</v>
      </c>
      <c r="C448" s="3" t="s">
        <v>135</v>
      </c>
      <c r="D448" s="3" t="s">
        <v>136</v>
      </c>
      <c r="E448" s="3" t="s">
        <v>137</v>
      </c>
      <c r="F448" s="3" t="s">
        <v>45</v>
      </c>
      <c r="G448" s="3" t="s">
        <v>39</v>
      </c>
      <c r="H448" s="3" t="s">
        <v>73</v>
      </c>
      <c r="I448" s="3" t="s">
        <v>74</v>
      </c>
      <c r="J448" s="3" t="s">
        <v>48</v>
      </c>
      <c r="K448" s="3" t="s">
        <v>75</v>
      </c>
      <c r="L448" s="3" t="s">
        <v>40</v>
      </c>
      <c r="M448" s="3" t="s">
        <v>38</v>
      </c>
      <c r="N448" s="4" t="n">
        <v>6</v>
      </c>
      <c r="O448" s="5" t="n">
        <v>9.51</v>
      </c>
      <c r="P448" s="6" t="n">
        <v>0.05</v>
      </c>
      <c r="Q448" s="5" t="n">
        <f aca="false">N448*O448*(1-P448)</f>
        <v>54.207</v>
      </c>
      <c r="R448" s="5" t="n">
        <v>32.27</v>
      </c>
      <c r="S448" s="6" t="n">
        <f aca="false">IFERROR((Q448-R448)/Q448,0)</f>
        <v>0.404689431254266</v>
      </c>
    </row>
    <row r="449" customFormat="false" ht="15" hidden="false" customHeight="false" outlineLevel="0" collapsed="false">
      <c r="A449" s="2" t="n">
        <v>45690</v>
      </c>
      <c r="B449" s="3" t="s">
        <v>382</v>
      </c>
      <c r="C449" s="3" t="s">
        <v>135</v>
      </c>
      <c r="D449" s="3" t="s">
        <v>136</v>
      </c>
      <c r="E449" s="3" t="s">
        <v>137</v>
      </c>
      <c r="F449" s="3" t="s">
        <v>45</v>
      </c>
      <c r="G449" s="3" t="s">
        <v>39</v>
      </c>
      <c r="H449" s="3" t="s">
        <v>171</v>
      </c>
      <c r="I449" s="3" t="s">
        <v>172</v>
      </c>
      <c r="J449" s="3" t="s">
        <v>27</v>
      </c>
      <c r="K449" s="3" t="s">
        <v>140</v>
      </c>
      <c r="L449" s="3" t="s">
        <v>40</v>
      </c>
      <c r="M449" s="3" t="s">
        <v>38</v>
      </c>
      <c r="N449" s="4" t="n">
        <v>12</v>
      </c>
      <c r="O449" s="5" t="n">
        <v>4.26</v>
      </c>
      <c r="P449" s="6" t="n">
        <v>0</v>
      </c>
      <c r="Q449" s="5" t="n">
        <f aca="false">N449*O449*(1-P449)</f>
        <v>51.12</v>
      </c>
      <c r="R449" s="5" t="n">
        <v>29.52</v>
      </c>
      <c r="S449" s="6" t="n">
        <f aca="false">IFERROR((Q449-R449)/Q449,0)</f>
        <v>0.422535211267606</v>
      </c>
    </row>
    <row r="450" customFormat="false" ht="15" hidden="false" customHeight="false" outlineLevel="0" collapsed="false">
      <c r="A450" s="2" t="n">
        <v>45693</v>
      </c>
      <c r="B450" s="3" t="s">
        <v>383</v>
      </c>
      <c r="C450" s="3" t="s">
        <v>276</v>
      </c>
      <c r="D450" s="3" t="s">
        <v>277</v>
      </c>
      <c r="E450" s="3" t="s">
        <v>278</v>
      </c>
      <c r="F450" s="3" t="s">
        <v>38</v>
      </c>
      <c r="G450" s="3" t="s">
        <v>80</v>
      </c>
      <c r="H450" s="3" t="s">
        <v>73</v>
      </c>
      <c r="I450" s="3" t="s">
        <v>74</v>
      </c>
      <c r="J450" s="3" t="s">
        <v>48</v>
      </c>
      <c r="K450" s="3" t="s">
        <v>75</v>
      </c>
      <c r="L450" s="3" t="s">
        <v>40</v>
      </c>
      <c r="M450" s="3" t="s">
        <v>38</v>
      </c>
      <c r="N450" s="4" t="n">
        <v>120</v>
      </c>
      <c r="O450" s="5" t="n">
        <v>8.41</v>
      </c>
      <c r="P450" s="6" t="n">
        <v>0</v>
      </c>
      <c r="Q450" s="5" t="n">
        <f aca="false">N450*O450*(1-P450)</f>
        <v>1009.2</v>
      </c>
      <c r="R450" s="5" t="n">
        <v>640.68</v>
      </c>
      <c r="S450" s="6" t="n">
        <f aca="false">IFERROR((Q450-R450)/Q450,0)</f>
        <v>0.365160523186683</v>
      </c>
    </row>
    <row r="451" customFormat="false" ht="15" hidden="false" customHeight="false" outlineLevel="0" collapsed="false">
      <c r="A451" s="2" t="n">
        <v>45693</v>
      </c>
      <c r="B451" s="3" t="s">
        <v>383</v>
      </c>
      <c r="C451" s="3" t="s">
        <v>276</v>
      </c>
      <c r="D451" s="3" t="s">
        <v>277</v>
      </c>
      <c r="E451" s="3" t="s">
        <v>278</v>
      </c>
      <c r="F451" s="3" t="s">
        <v>38</v>
      </c>
      <c r="G451" s="3" t="s">
        <v>80</v>
      </c>
      <c r="H451" s="3" t="s">
        <v>30</v>
      </c>
      <c r="I451" s="3" t="s">
        <v>31</v>
      </c>
      <c r="J451" s="3" t="s">
        <v>32</v>
      </c>
      <c r="K451" s="3" t="s">
        <v>33</v>
      </c>
      <c r="L451" s="3" t="s">
        <v>40</v>
      </c>
      <c r="M451" s="3" t="s">
        <v>38</v>
      </c>
      <c r="N451" s="4" t="n">
        <v>6</v>
      </c>
      <c r="O451" s="5" t="n">
        <v>25.47</v>
      </c>
      <c r="P451" s="6" t="n">
        <v>0</v>
      </c>
      <c r="Q451" s="5" t="n">
        <f aca="false">N451*O451*(1-P451)</f>
        <v>152.82</v>
      </c>
      <c r="R451" s="5" t="n">
        <v>88.38</v>
      </c>
      <c r="S451" s="6" t="n">
        <f aca="false">IFERROR((Q451-R451)/Q451,0)</f>
        <v>0.421672555948174</v>
      </c>
    </row>
    <row r="452" customFormat="false" ht="15" hidden="false" customHeight="false" outlineLevel="0" collapsed="false">
      <c r="A452" s="2" t="n">
        <v>45693</v>
      </c>
      <c r="B452" s="3" t="s">
        <v>383</v>
      </c>
      <c r="C452" s="3" t="s">
        <v>276</v>
      </c>
      <c r="D452" s="3" t="s">
        <v>277</v>
      </c>
      <c r="E452" s="3" t="s">
        <v>278</v>
      </c>
      <c r="F452" s="3" t="s">
        <v>38</v>
      </c>
      <c r="G452" s="3" t="s">
        <v>80</v>
      </c>
      <c r="H452" s="3" t="s">
        <v>25</v>
      </c>
      <c r="I452" s="3" t="s">
        <v>26</v>
      </c>
      <c r="J452" s="3" t="s">
        <v>27</v>
      </c>
      <c r="K452" s="3" t="s">
        <v>28</v>
      </c>
      <c r="L452" s="3" t="s">
        <v>40</v>
      </c>
      <c r="M452" s="3" t="s">
        <v>38</v>
      </c>
      <c r="N452" s="4" t="n">
        <v>24</v>
      </c>
      <c r="O452" s="5" t="n">
        <v>6.32</v>
      </c>
      <c r="P452" s="6" t="n">
        <v>0.15</v>
      </c>
      <c r="Q452" s="5" t="n">
        <f aca="false">N452*O452*(1-P452)</f>
        <v>128.928</v>
      </c>
      <c r="R452" s="5" t="n">
        <v>96.75</v>
      </c>
      <c r="S452" s="6" t="n">
        <f aca="false">IFERROR((Q452-R452)/Q452,0)</f>
        <v>0.249581161578555</v>
      </c>
    </row>
    <row r="453" customFormat="false" ht="15" hidden="false" customHeight="false" outlineLevel="0" collapsed="false">
      <c r="A453" s="2" t="n">
        <v>45693</v>
      </c>
      <c r="B453" s="3" t="s">
        <v>383</v>
      </c>
      <c r="C453" s="3" t="s">
        <v>276</v>
      </c>
      <c r="D453" s="3" t="s">
        <v>277</v>
      </c>
      <c r="E453" s="3" t="s">
        <v>278</v>
      </c>
      <c r="F453" s="3" t="s">
        <v>38</v>
      </c>
      <c r="G453" s="3" t="s">
        <v>80</v>
      </c>
      <c r="H453" s="3" t="s">
        <v>129</v>
      </c>
      <c r="I453" s="3" t="s">
        <v>130</v>
      </c>
      <c r="J453" s="3" t="s">
        <v>67</v>
      </c>
      <c r="K453" s="3" t="s">
        <v>131</v>
      </c>
      <c r="L453" s="3" t="s">
        <v>40</v>
      </c>
      <c r="M453" s="3" t="s">
        <v>38</v>
      </c>
      <c r="N453" s="4" t="n">
        <v>12</v>
      </c>
      <c r="O453" s="5" t="n">
        <v>11.82</v>
      </c>
      <c r="P453" s="6" t="n">
        <v>0</v>
      </c>
      <c r="Q453" s="5" t="n">
        <f aca="false">N453*O453*(1-P453)</f>
        <v>141.84</v>
      </c>
      <c r="R453" s="5" t="n">
        <v>83.68</v>
      </c>
      <c r="S453" s="6" t="n">
        <f aca="false">IFERROR((Q453-R453)/Q453,0)</f>
        <v>0.410039481105471</v>
      </c>
    </row>
    <row r="454" customFormat="false" ht="15" hidden="false" customHeight="false" outlineLevel="0" collapsed="false">
      <c r="A454" s="2" t="n">
        <v>45695</v>
      </c>
      <c r="B454" s="3" t="s">
        <v>384</v>
      </c>
      <c r="C454" s="3" t="s">
        <v>228</v>
      </c>
      <c r="D454" s="3" t="s">
        <v>124</v>
      </c>
      <c r="E454" s="3" t="s">
        <v>229</v>
      </c>
      <c r="F454" s="3" t="s">
        <v>45</v>
      </c>
      <c r="G454" s="3" t="s">
        <v>39</v>
      </c>
      <c r="H454" s="3" t="s">
        <v>222</v>
      </c>
      <c r="I454" s="3" t="s">
        <v>223</v>
      </c>
      <c r="J454" s="3" t="s">
        <v>67</v>
      </c>
      <c r="K454" s="3" t="s">
        <v>184</v>
      </c>
      <c r="L454" s="3" t="s">
        <v>106</v>
      </c>
      <c r="M454" s="3" t="s">
        <v>107</v>
      </c>
      <c r="N454" s="4" t="n">
        <v>60</v>
      </c>
      <c r="O454" s="5" t="n">
        <v>20.04</v>
      </c>
      <c r="P454" s="6" t="n">
        <v>0</v>
      </c>
      <c r="Q454" s="5" t="n">
        <f aca="false">N454*O454*(1-P454)</f>
        <v>1202.4</v>
      </c>
      <c r="R454" s="5" t="n">
        <v>684.44</v>
      </c>
      <c r="S454" s="6" t="n">
        <f aca="false">IFERROR((Q454-R454)/Q454,0)</f>
        <v>0.430771789753826</v>
      </c>
    </row>
    <row r="455" customFormat="false" ht="15" hidden="false" customHeight="false" outlineLevel="0" collapsed="false">
      <c r="A455" s="2" t="n">
        <v>45695</v>
      </c>
      <c r="B455" s="3" t="s">
        <v>384</v>
      </c>
      <c r="C455" s="3" t="s">
        <v>228</v>
      </c>
      <c r="D455" s="3" t="s">
        <v>124</v>
      </c>
      <c r="E455" s="3" t="s">
        <v>229</v>
      </c>
      <c r="F455" s="3" t="s">
        <v>45</v>
      </c>
      <c r="G455" s="3" t="s">
        <v>39</v>
      </c>
      <c r="H455" s="3" t="s">
        <v>98</v>
      </c>
      <c r="I455" s="3" t="s">
        <v>99</v>
      </c>
      <c r="J455" s="3" t="s">
        <v>89</v>
      </c>
      <c r="K455" s="3" t="s">
        <v>100</v>
      </c>
      <c r="L455" s="3" t="s">
        <v>106</v>
      </c>
      <c r="M455" s="3" t="s">
        <v>107</v>
      </c>
      <c r="N455" s="4" t="n">
        <v>72</v>
      </c>
      <c r="O455" s="5" t="n">
        <v>22.01</v>
      </c>
      <c r="P455" s="6" t="n">
        <v>0.15</v>
      </c>
      <c r="Q455" s="5" t="n">
        <f aca="false">N455*O455*(1-P455)</f>
        <v>1347.012</v>
      </c>
      <c r="R455" s="5" t="n">
        <v>1008.98</v>
      </c>
      <c r="S455" s="6" t="n">
        <f aca="false">IFERROR((Q455-R455)/Q455,0)</f>
        <v>0.250949508987299</v>
      </c>
    </row>
    <row r="456" customFormat="false" ht="15" hidden="false" customHeight="false" outlineLevel="0" collapsed="false">
      <c r="A456" s="2" t="n">
        <v>45695</v>
      </c>
      <c r="B456" s="3" t="s">
        <v>384</v>
      </c>
      <c r="C456" s="3" t="s">
        <v>228</v>
      </c>
      <c r="D456" s="3" t="s">
        <v>124</v>
      </c>
      <c r="E456" s="3" t="s">
        <v>229</v>
      </c>
      <c r="F456" s="3" t="s">
        <v>45</v>
      </c>
      <c r="G456" s="3" t="s">
        <v>39</v>
      </c>
      <c r="H456" s="3" t="s">
        <v>129</v>
      </c>
      <c r="I456" s="3" t="s">
        <v>130</v>
      </c>
      <c r="J456" s="3" t="s">
        <v>67</v>
      </c>
      <c r="K456" s="3" t="s">
        <v>131</v>
      </c>
      <c r="L456" s="3" t="s">
        <v>106</v>
      </c>
      <c r="M456" s="3" t="s">
        <v>107</v>
      </c>
      <c r="N456" s="4" t="n">
        <v>24</v>
      </c>
      <c r="O456" s="5" t="n">
        <v>12.15</v>
      </c>
      <c r="P456" s="6" t="n">
        <v>0.1</v>
      </c>
      <c r="Q456" s="5" t="n">
        <f aca="false">N456*O456*(1-P456)</f>
        <v>262.44</v>
      </c>
      <c r="R456" s="5" t="n">
        <v>166.47</v>
      </c>
      <c r="S456" s="6" t="n">
        <f aca="false">IFERROR((Q456-R456)/Q456,0)</f>
        <v>0.365683584819387</v>
      </c>
    </row>
    <row r="457" customFormat="false" ht="15" hidden="false" customHeight="false" outlineLevel="0" collapsed="false">
      <c r="A457" s="2" t="n">
        <v>45695</v>
      </c>
      <c r="B457" s="3" t="s">
        <v>384</v>
      </c>
      <c r="C457" s="3" t="s">
        <v>228</v>
      </c>
      <c r="D457" s="3" t="s">
        <v>124</v>
      </c>
      <c r="E457" s="3" t="s">
        <v>229</v>
      </c>
      <c r="F457" s="3" t="s">
        <v>45</v>
      </c>
      <c r="G457" s="3" t="s">
        <v>39</v>
      </c>
      <c r="H457" s="3" t="s">
        <v>173</v>
      </c>
      <c r="I457" s="3" t="s">
        <v>174</v>
      </c>
      <c r="J457" s="3" t="s">
        <v>27</v>
      </c>
      <c r="K457" s="3" t="s">
        <v>175</v>
      </c>
      <c r="L457" s="3" t="s">
        <v>106</v>
      </c>
      <c r="M457" s="3" t="s">
        <v>107</v>
      </c>
      <c r="N457" s="4" t="n">
        <v>72</v>
      </c>
      <c r="O457" s="5" t="n">
        <v>16.84</v>
      </c>
      <c r="P457" s="6" t="n">
        <v>0.1</v>
      </c>
      <c r="Q457" s="5" t="n">
        <f aca="false">N457*O457*(1-P457)</f>
        <v>1091.232</v>
      </c>
      <c r="R457" s="5" t="n">
        <v>796.7</v>
      </c>
      <c r="S457" s="6" t="n">
        <f aca="false">IFERROR((Q457-R457)/Q457,0)</f>
        <v>0.269907773965573</v>
      </c>
    </row>
    <row r="458" customFormat="false" ht="15" hidden="false" customHeight="false" outlineLevel="0" collapsed="false">
      <c r="A458" s="2" t="n">
        <v>45696</v>
      </c>
      <c r="B458" s="3" t="s">
        <v>385</v>
      </c>
      <c r="C458" s="3" t="s">
        <v>123</v>
      </c>
      <c r="D458" s="3" t="s">
        <v>124</v>
      </c>
      <c r="E458" s="3" t="s">
        <v>125</v>
      </c>
      <c r="F458" s="3" t="s">
        <v>38</v>
      </c>
      <c r="G458" s="3" t="s">
        <v>39</v>
      </c>
      <c r="H458" s="3" t="s">
        <v>119</v>
      </c>
      <c r="I458" s="3" t="s">
        <v>120</v>
      </c>
      <c r="J458" s="3" t="s">
        <v>89</v>
      </c>
      <c r="K458" s="3" t="s">
        <v>121</v>
      </c>
      <c r="L458" s="3" t="s">
        <v>40</v>
      </c>
      <c r="M458" s="3" t="s">
        <v>38</v>
      </c>
      <c r="N458" s="4" t="n">
        <v>48</v>
      </c>
      <c r="O458" s="5" t="n">
        <v>10.62</v>
      </c>
      <c r="P458" s="6" t="n">
        <v>0.05</v>
      </c>
      <c r="Q458" s="5" t="n">
        <f aca="false">N458*O458*(1-P458)</f>
        <v>484.272</v>
      </c>
      <c r="R458" s="5" t="n">
        <v>330.67</v>
      </c>
      <c r="S458" s="6" t="n">
        <f aca="false">IFERROR((Q458-R458)/Q458,0)</f>
        <v>0.317181253510424</v>
      </c>
    </row>
    <row r="459" customFormat="false" ht="15" hidden="false" customHeight="false" outlineLevel="0" collapsed="false">
      <c r="A459" s="2" t="n">
        <v>45696</v>
      </c>
      <c r="B459" s="3" t="s">
        <v>385</v>
      </c>
      <c r="C459" s="3" t="s">
        <v>123</v>
      </c>
      <c r="D459" s="3" t="s">
        <v>124</v>
      </c>
      <c r="E459" s="3" t="s">
        <v>125</v>
      </c>
      <c r="F459" s="3" t="s">
        <v>38</v>
      </c>
      <c r="G459" s="3" t="s">
        <v>39</v>
      </c>
      <c r="H459" s="3" t="s">
        <v>132</v>
      </c>
      <c r="I459" s="3" t="s">
        <v>133</v>
      </c>
      <c r="J459" s="3" t="s">
        <v>27</v>
      </c>
      <c r="K459" s="3" t="s">
        <v>28</v>
      </c>
      <c r="L459" s="3" t="s">
        <v>40</v>
      </c>
      <c r="M459" s="3" t="s">
        <v>38</v>
      </c>
      <c r="N459" s="4" t="n">
        <v>12</v>
      </c>
      <c r="O459" s="5" t="n">
        <v>13.29</v>
      </c>
      <c r="P459" s="6" t="n">
        <v>0</v>
      </c>
      <c r="Q459" s="5" t="n">
        <f aca="false">N459*O459*(1-P459)</f>
        <v>159.48</v>
      </c>
      <c r="R459" s="5" t="n">
        <v>97.16</v>
      </c>
      <c r="S459" s="6" t="n">
        <f aca="false">IFERROR((Q459-R459)/Q459,0)</f>
        <v>0.390770002508151</v>
      </c>
    </row>
    <row r="460" customFormat="false" ht="15" hidden="false" customHeight="false" outlineLevel="0" collapsed="false">
      <c r="A460" s="2" t="n">
        <v>45696</v>
      </c>
      <c r="B460" s="3" t="s">
        <v>385</v>
      </c>
      <c r="C460" s="3" t="s">
        <v>123</v>
      </c>
      <c r="D460" s="3" t="s">
        <v>124</v>
      </c>
      <c r="E460" s="3" t="s">
        <v>125</v>
      </c>
      <c r="F460" s="3" t="s">
        <v>38</v>
      </c>
      <c r="G460" s="3" t="s">
        <v>39</v>
      </c>
      <c r="H460" s="3" t="s">
        <v>96</v>
      </c>
      <c r="I460" s="3" t="s">
        <v>97</v>
      </c>
      <c r="J460" s="3" t="s">
        <v>48</v>
      </c>
      <c r="K460" s="3" t="s">
        <v>75</v>
      </c>
      <c r="L460" s="3" t="s">
        <v>40</v>
      </c>
      <c r="M460" s="3" t="s">
        <v>38</v>
      </c>
      <c r="N460" s="4" t="n">
        <v>72</v>
      </c>
      <c r="O460" s="5" t="n">
        <v>8.77</v>
      </c>
      <c r="P460" s="6" t="n">
        <v>0</v>
      </c>
      <c r="Q460" s="5" t="n">
        <f aca="false">N460*O460*(1-P460)</f>
        <v>631.44</v>
      </c>
      <c r="R460" s="5" t="n">
        <v>349.42</v>
      </c>
      <c r="S460" s="6" t="n">
        <f aca="false">IFERROR((Q460-R460)/Q460,0)</f>
        <v>0.446629925250222</v>
      </c>
    </row>
    <row r="461" customFormat="false" ht="15" hidden="false" customHeight="false" outlineLevel="0" collapsed="false">
      <c r="A461" s="2" t="n">
        <v>45697</v>
      </c>
      <c r="B461" s="3" t="s">
        <v>386</v>
      </c>
      <c r="C461" s="3" t="s">
        <v>77</v>
      </c>
      <c r="D461" s="3" t="s">
        <v>78</v>
      </c>
      <c r="E461" s="3" t="s">
        <v>79</v>
      </c>
      <c r="F461" s="3" t="s">
        <v>45</v>
      </c>
      <c r="G461" s="3" t="s">
        <v>80</v>
      </c>
      <c r="H461" s="3" t="s">
        <v>222</v>
      </c>
      <c r="I461" s="3" t="s">
        <v>223</v>
      </c>
      <c r="J461" s="3" t="s">
        <v>67</v>
      </c>
      <c r="K461" s="3" t="s">
        <v>184</v>
      </c>
      <c r="L461" s="3" t="s">
        <v>50</v>
      </c>
      <c r="M461" s="3" t="s">
        <v>45</v>
      </c>
      <c r="N461" s="4" t="n">
        <v>96</v>
      </c>
      <c r="O461" s="5" t="n">
        <v>19.26</v>
      </c>
      <c r="P461" s="6" t="n">
        <v>0</v>
      </c>
      <c r="Q461" s="5" t="n">
        <f aca="false">N461*O461*(1-P461)</f>
        <v>1848.96</v>
      </c>
      <c r="R461" s="5" t="n">
        <v>1103.9</v>
      </c>
      <c r="S461" s="6" t="n">
        <f aca="false">IFERROR((Q461-R461)/Q461,0)</f>
        <v>0.402961664935964</v>
      </c>
    </row>
    <row r="462" customFormat="false" ht="15" hidden="false" customHeight="false" outlineLevel="0" collapsed="false">
      <c r="A462" s="2" t="n">
        <v>45697</v>
      </c>
      <c r="B462" s="3" t="s">
        <v>386</v>
      </c>
      <c r="C462" s="3" t="s">
        <v>77</v>
      </c>
      <c r="D462" s="3" t="s">
        <v>78</v>
      </c>
      <c r="E462" s="3" t="s">
        <v>79</v>
      </c>
      <c r="F462" s="3" t="s">
        <v>45</v>
      </c>
      <c r="G462" s="3" t="s">
        <v>80</v>
      </c>
      <c r="H462" s="3" t="s">
        <v>138</v>
      </c>
      <c r="I462" s="3" t="s">
        <v>139</v>
      </c>
      <c r="J462" s="3" t="s">
        <v>27</v>
      </c>
      <c r="K462" s="3" t="s">
        <v>140</v>
      </c>
      <c r="L462" s="3" t="s">
        <v>50</v>
      </c>
      <c r="M462" s="3" t="s">
        <v>45</v>
      </c>
      <c r="N462" s="4" t="n">
        <v>48</v>
      </c>
      <c r="O462" s="5" t="n">
        <v>3.78</v>
      </c>
      <c r="P462" s="6" t="n">
        <v>0</v>
      </c>
      <c r="Q462" s="5" t="n">
        <f aca="false">N462*O462*(1-P462)</f>
        <v>181.44</v>
      </c>
      <c r="R462" s="5" t="n">
        <v>110.22</v>
      </c>
      <c r="S462" s="6" t="n">
        <f aca="false">IFERROR((Q462-R462)/Q462,0)</f>
        <v>0.392526455026455</v>
      </c>
    </row>
    <row r="463" customFormat="false" ht="15" hidden="false" customHeight="false" outlineLevel="0" collapsed="false">
      <c r="A463" s="2" t="n">
        <v>45699</v>
      </c>
      <c r="B463" s="3" t="s">
        <v>387</v>
      </c>
      <c r="C463" s="3" t="s">
        <v>77</v>
      </c>
      <c r="D463" s="3" t="s">
        <v>78</v>
      </c>
      <c r="E463" s="3" t="s">
        <v>79</v>
      </c>
      <c r="F463" s="3" t="s">
        <v>45</v>
      </c>
      <c r="G463" s="3" t="s">
        <v>80</v>
      </c>
      <c r="H463" s="3" t="s">
        <v>54</v>
      </c>
      <c r="I463" s="3" t="s">
        <v>55</v>
      </c>
      <c r="J463" s="3" t="s">
        <v>56</v>
      </c>
      <c r="K463" s="3" t="s">
        <v>57</v>
      </c>
      <c r="L463" s="3" t="s">
        <v>50</v>
      </c>
      <c r="M463" s="3" t="s">
        <v>45</v>
      </c>
      <c r="N463" s="4" t="n">
        <v>120</v>
      </c>
      <c r="O463" s="5" t="n">
        <v>4.62</v>
      </c>
      <c r="P463" s="6" t="n">
        <v>0</v>
      </c>
      <c r="Q463" s="5" t="n">
        <f aca="false">N463*O463*(1-P463)</f>
        <v>554.4</v>
      </c>
      <c r="R463" s="5" t="n">
        <v>351.08</v>
      </c>
      <c r="S463" s="6" t="n">
        <f aca="false">IFERROR((Q463-R463)/Q463,0)</f>
        <v>0.366738816738817</v>
      </c>
    </row>
    <row r="464" customFormat="false" ht="15" hidden="false" customHeight="false" outlineLevel="0" collapsed="false">
      <c r="A464" s="2" t="n">
        <v>45702</v>
      </c>
      <c r="B464" s="3" t="s">
        <v>388</v>
      </c>
      <c r="C464" s="3" t="s">
        <v>77</v>
      </c>
      <c r="D464" s="3" t="s">
        <v>78</v>
      </c>
      <c r="E464" s="3" t="s">
        <v>79</v>
      </c>
      <c r="F464" s="3" t="s">
        <v>45</v>
      </c>
      <c r="G464" s="3" t="s">
        <v>80</v>
      </c>
      <c r="H464" s="3" t="s">
        <v>173</v>
      </c>
      <c r="I464" s="3" t="s">
        <v>174</v>
      </c>
      <c r="J464" s="3" t="s">
        <v>27</v>
      </c>
      <c r="K464" s="3" t="s">
        <v>175</v>
      </c>
      <c r="L464" s="3" t="s">
        <v>50</v>
      </c>
      <c r="M464" s="3" t="s">
        <v>45</v>
      </c>
      <c r="N464" s="4" t="n">
        <v>6</v>
      </c>
      <c r="O464" s="5" t="n">
        <v>18.2</v>
      </c>
      <c r="P464" s="6" t="n">
        <v>0.05</v>
      </c>
      <c r="Q464" s="5" t="n">
        <f aca="false">N464*O464*(1-P464)</f>
        <v>103.74</v>
      </c>
      <c r="R464" s="5" t="n">
        <v>66.14</v>
      </c>
      <c r="S464" s="6" t="n">
        <f aca="false">IFERROR((Q464-R464)/Q464,0)</f>
        <v>0.362444572970889</v>
      </c>
    </row>
    <row r="465" customFormat="false" ht="15" hidden="false" customHeight="false" outlineLevel="0" collapsed="false">
      <c r="A465" s="2" t="n">
        <v>45702</v>
      </c>
      <c r="B465" s="3" t="s">
        <v>388</v>
      </c>
      <c r="C465" s="3" t="s">
        <v>77</v>
      </c>
      <c r="D465" s="3" t="s">
        <v>78</v>
      </c>
      <c r="E465" s="3" t="s">
        <v>79</v>
      </c>
      <c r="F465" s="3" t="s">
        <v>45</v>
      </c>
      <c r="G465" s="3" t="s">
        <v>80</v>
      </c>
      <c r="H465" s="3" t="s">
        <v>65</v>
      </c>
      <c r="I465" s="3" t="s">
        <v>66</v>
      </c>
      <c r="J465" s="3" t="s">
        <v>67</v>
      </c>
      <c r="K465" s="3" t="s">
        <v>68</v>
      </c>
      <c r="L465" s="3" t="s">
        <v>50</v>
      </c>
      <c r="M465" s="3" t="s">
        <v>45</v>
      </c>
      <c r="N465" s="4" t="n">
        <v>12</v>
      </c>
      <c r="O465" s="5" t="n">
        <v>27.52</v>
      </c>
      <c r="P465" s="6" t="n">
        <v>0</v>
      </c>
      <c r="Q465" s="5" t="n">
        <f aca="false">N465*O465*(1-P465)</f>
        <v>330.24</v>
      </c>
      <c r="R465" s="5" t="n">
        <v>204.52</v>
      </c>
      <c r="S465" s="6" t="n">
        <f aca="false">IFERROR((Q465-R465)/Q465,0)</f>
        <v>0.380692829457364</v>
      </c>
    </row>
    <row r="466" customFormat="false" ht="15" hidden="false" customHeight="false" outlineLevel="0" collapsed="false">
      <c r="A466" s="2" t="n">
        <v>45703</v>
      </c>
      <c r="B466" s="3" t="s">
        <v>389</v>
      </c>
      <c r="C466" s="3" t="s">
        <v>209</v>
      </c>
      <c r="D466" s="3" t="s">
        <v>210</v>
      </c>
      <c r="E466" s="3" t="s">
        <v>211</v>
      </c>
      <c r="F466" s="3" t="s">
        <v>23</v>
      </c>
      <c r="G466" s="3" t="s">
        <v>95</v>
      </c>
      <c r="H466" s="3" t="s">
        <v>30</v>
      </c>
      <c r="I466" s="3" t="s">
        <v>31</v>
      </c>
      <c r="J466" s="3" t="s">
        <v>32</v>
      </c>
      <c r="K466" s="3" t="s">
        <v>33</v>
      </c>
      <c r="L466" s="3" t="s">
        <v>29</v>
      </c>
      <c r="M466" s="3" t="s">
        <v>23</v>
      </c>
      <c r="N466" s="4" t="n">
        <v>48</v>
      </c>
      <c r="O466" s="5" t="n">
        <v>25.08</v>
      </c>
      <c r="P466" s="6" t="n">
        <v>0</v>
      </c>
      <c r="Q466" s="5" t="n">
        <f aca="false">N466*O466*(1-P466)</f>
        <v>1203.84</v>
      </c>
      <c r="R466" s="5" t="n">
        <v>729.41</v>
      </c>
      <c r="S466" s="6" t="n">
        <f aca="false">IFERROR((Q466-R466)/Q466,0)</f>
        <v>0.394097222222222</v>
      </c>
    </row>
    <row r="467" customFormat="false" ht="15" hidden="false" customHeight="false" outlineLevel="0" collapsed="false">
      <c r="A467" s="2" t="n">
        <v>45703</v>
      </c>
      <c r="B467" s="3" t="s">
        <v>389</v>
      </c>
      <c r="C467" s="3" t="s">
        <v>209</v>
      </c>
      <c r="D467" s="3" t="s">
        <v>210</v>
      </c>
      <c r="E467" s="3" t="s">
        <v>211</v>
      </c>
      <c r="F467" s="3" t="s">
        <v>23</v>
      </c>
      <c r="G467" s="3" t="s">
        <v>95</v>
      </c>
      <c r="H467" s="3" t="s">
        <v>171</v>
      </c>
      <c r="I467" s="3" t="s">
        <v>172</v>
      </c>
      <c r="J467" s="3" t="s">
        <v>27</v>
      </c>
      <c r="K467" s="3" t="s">
        <v>140</v>
      </c>
      <c r="L467" s="3" t="s">
        <v>29</v>
      </c>
      <c r="M467" s="3" t="s">
        <v>23</v>
      </c>
      <c r="N467" s="4" t="n">
        <v>24</v>
      </c>
      <c r="O467" s="5" t="n">
        <v>4.4</v>
      </c>
      <c r="P467" s="6" t="n">
        <v>0</v>
      </c>
      <c r="Q467" s="5" t="n">
        <f aca="false">N467*O467*(1-P467)</f>
        <v>105.6</v>
      </c>
      <c r="R467" s="5" t="n">
        <v>59.85</v>
      </c>
      <c r="S467" s="6" t="n">
        <f aca="false">IFERROR((Q467-R467)/Q467,0)</f>
        <v>0.433238636363636</v>
      </c>
    </row>
    <row r="468" customFormat="false" ht="15" hidden="false" customHeight="false" outlineLevel="0" collapsed="false">
      <c r="A468" s="2" t="n">
        <v>45710</v>
      </c>
      <c r="B468" s="3" t="s">
        <v>390</v>
      </c>
      <c r="C468" s="3" t="s">
        <v>70</v>
      </c>
      <c r="D468" s="3" t="s">
        <v>71</v>
      </c>
      <c r="E468" s="3" t="s">
        <v>72</v>
      </c>
      <c r="F468" s="3" t="s">
        <v>45</v>
      </c>
      <c r="G468" s="3" t="s">
        <v>39</v>
      </c>
      <c r="H468" s="3" t="s">
        <v>108</v>
      </c>
      <c r="I468" s="3" t="s">
        <v>109</v>
      </c>
      <c r="J468" s="3" t="s">
        <v>48</v>
      </c>
      <c r="K468" s="3" t="s">
        <v>110</v>
      </c>
      <c r="L468" s="3" t="s">
        <v>50</v>
      </c>
      <c r="M468" s="3" t="s">
        <v>45</v>
      </c>
      <c r="N468" s="4" t="n">
        <v>48</v>
      </c>
      <c r="O468" s="5" t="n">
        <v>6.88</v>
      </c>
      <c r="P468" s="6" t="n">
        <v>0</v>
      </c>
      <c r="Q468" s="5" t="n">
        <f aca="false">N468*O468*(1-P468)</f>
        <v>330.24</v>
      </c>
      <c r="R468" s="5" t="n">
        <v>205.56</v>
      </c>
      <c r="S468" s="6" t="n">
        <f aca="false">IFERROR((Q468-R468)/Q468,0)</f>
        <v>0.377543604651163</v>
      </c>
    </row>
    <row r="469" customFormat="false" ht="15" hidden="false" customHeight="false" outlineLevel="0" collapsed="false">
      <c r="A469" s="2" t="n">
        <v>45710</v>
      </c>
      <c r="B469" s="3" t="s">
        <v>390</v>
      </c>
      <c r="C469" s="3" t="s">
        <v>70</v>
      </c>
      <c r="D469" s="3" t="s">
        <v>71</v>
      </c>
      <c r="E469" s="3" t="s">
        <v>72</v>
      </c>
      <c r="F469" s="3" t="s">
        <v>45</v>
      </c>
      <c r="G469" s="3" t="s">
        <v>39</v>
      </c>
      <c r="H469" s="3" t="s">
        <v>73</v>
      </c>
      <c r="I469" s="3" t="s">
        <v>74</v>
      </c>
      <c r="J469" s="3" t="s">
        <v>48</v>
      </c>
      <c r="K469" s="3" t="s">
        <v>75</v>
      </c>
      <c r="L469" s="3" t="s">
        <v>50</v>
      </c>
      <c r="M469" s="3" t="s">
        <v>45</v>
      </c>
      <c r="N469" s="4" t="n">
        <v>12</v>
      </c>
      <c r="O469" s="5" t="n">
        <v>9.56</v>
      </c>
      <c r="P469" s="6" t="n">
        <v>0</v>
      </c>
      <c r="Q469" s="5" t="n">
        <f aca="false">N469*O469*(1-P469)</f>
        <v>114.72</v>
      </c>
      <c r="R469" s="5" t="n">
        <v>64.41</v>
      </c>
      <c r="S469" s="6" t="n">
        <f aca="false">IFERROR((Q469-R469)/Q469,0)</f>
        <v>0.438546025104603</v>
      </c>
    </row>
    <row r="470" customFormat="false" ht="15" hidden="false" customHeight="false" outlineLevel="0" collapsed="false">
      <c r="A470" s="2" t="n">
        <v>45710</v>
      </c>
      <c r="B470" s="3" t="s">
        <v>390</v>
      </c>
      <c r="C470" s="3" t="s">
        <v>70</v>
      </c>
      <c r="D470" s="3" t="s">
        <v>71</v>
      </c>
      <c r="E470" s="3" t="s">
        <v>72</v>
      </c>
      <c r="F470" s="3" t="s">
        <v>45</v>
      </c>
      <c r="G470" s="3" t="s">
        <v>39</v>
      </c>
      <c r="H470" s="3" t="s">
        <v>51</v>
      </c>
      <c r="I470" s="3" t="s">
        <v>52</v>
      </c>
      <c r="J470" s="3" t="s">
        <v>27</v>
      </c>
      <c r="K470" s="3" t="s">
        <v>53</v>
      </c>
      <c r="L470" s="3" t="s">
        <v>50</v>
      </c>
      <c r="M470" s="3" t="s">
        <v>45</v>
      </c>
      <c r="N470" s="4" t="n">
        <v>72</v>
      </c>
      <c r="O470" s="5" t="n">
        <v>24.08</v>
      </c>
      <c r="P470" s="6" t="n">
        <v>0</v>
      </c>
      <c r="Q470" s="5" t="n">
        <f aca="false">N470*O470*(1-P470)</f>
        <v>1733.76</v>
      </c>
      <c r="R470" s="5" t="n">
        <v>1023.2</v>
      </c>
      <c r="S470" s="6" t="n">
        <f aca="false">IFERROR((Q470-R470)/Q470,0)</f>
        <v>0.40983757844223</v>
      </c>
    </row>
    <row r="471" customFormat="false" ht="15" hidden="false" customHeight="false" outlineLevel="0" collapsed="false">
      <c r="A471" s="2" t="n">
        <v>45710</v>
      </c>
      <c r="B471" s="3" t="s">
        <v>390</v>
      </c>
      <c r="C471" s="3" t="s">
        <v>70</v>
      </c>
      <c r="D471" s="3" t="s">
        <v>71</v>
      </c>
      <c r="E471" s="3" t="s">
        <v>72</v>
      </c>
      <c r="F471" s="3" t="s">
        <v>45</v>
      </c>
      <c r="G471" s="3" t="s">
        <v>39</v>
      </c>
      <c r="H471" s="3" t="s">
        <v>189</v>
      </c>
      <c r="I471" s="3" t="s">
        <v>190</v>
      </c>
      <c r="J471" s="3" t="s">
        <v>27</v>
      </c>
      <c r="K471" s="3" t="s">
        <v>149</v>
      </c>
      <c r="L471" s="3" t="s">
        <v>50</v>
      </c>
      <c r="M471" s="3" t="s">
        <v>45</v>
      </c>
      <c r="N471" s="4" t="n">
        <v>60</v>
      </c>
      <c r="O471" s="5" t="n">
        <v>8.8</v>
      </c>
      <c r="P471" s="6" t="n">
        <v>0.05</v>
      </c>
      <c r="Q471" s="5" t="n">
        <f aca="false">N471*O471*(1-P471)</f>
        <v>501.6</v>
      </c>
      <c r="R471" s="5" t="n">
        <v>345.85</v>
      </c>
      <c r="S471" s="6" t="n">
        <f aca="false">IFERROR((Q471-R471)/Q471,0)</f>
        <v>0.310506379585327</v>
      </c>
    </row>
    <row r="472" customFormat="false" ht="15" hidden="false" customHeight="false" outlineLevel="0" collapsed="false">
      <c r="A472" s="2" t="n">
        <v>45713</v>
      </c>
      <c r="B472" s="3" t="s">
        <v>391</v>
      </c>
      <c r="C472" s="3" t="s">
        <v>177</v>
      </c>
      <c r="D472" s="3" t="s">
        <v>178</v>
      </c>
      <c r="E472" s="3" t="s">
        <v>179</v>
      </c>
      <c r="F472" s="3" t="s">
        <v>180</v>
      </c>
      <c r="G472" s="3" t="s">
        <v>24</v>
      </c>
      <c r="H472" s="3" t="s">
        <v>51</v>
      </c>
      <c r="I472" s="3" t="s">
        <v>52</v>
      </c>
      <c r="J472" s="3" t="s">
        <v>27</v>
      </c>
      <c r="K472" s="3" t="s">
        <v>53</v>
      </c>
      <c r="L472" s="3" t="s">
        <v>181</v>
      </c>
      <c r="M472" s="3" t="s">
        <v>180</v>
      </c>
      <c r="N472" s="4" t="n">
        <v>60</v>
      </c>
      <c r="O472" s="5" t="n">
        <v>21.85</v>
      </c>
      <c r="P472" s="6" t="n">
        <v>0</v>
      </c>
      <c r="Q472" s="5" t="n">
        <f aca="false">N472*O472*(1-P472)</f>
        <v>1311</v>
      </c>
      <c r="R472" s="5" t="n">
        <v>826.12</v>
      </c>
      <c r="S472" s="6" t="n">
        <f aca="false">IFERROR((Q472-R472)/Q472,0)</f>
        <v>0.369855072463768</v>
      </c>
    </row>
    <row r="473" customFormat="false" ht="15" hidden="false" customHeight="false" outlineLevel="0" collapsed="false">
      <c r="A473" s="2" t="n">
        <v>45713</v>
      </c>
      <c r="B473" s="3" t="s">
        <v>391</v>
      </c>
      <c r="C473" s="3" t="s">
        <v>177</v>
      </c>
      <c r="D473" s="3" t="s">
        <v>178</v>
      </c>
      <c r="E473" s="3" t="s">
        <v>179</v>
      </c>
      <c r="F473" s="3" t="s">
        <v>180</v>
      </c>
      <c r="G473" s="3" t="s">
        <v>24</v>
      </c>
      <c r="H473" s="3" t="s">
        <v>54</v>
      </c>
      <c r="I473" s="3" t="s">
        <v>55</v>
      </c>
      <c r="J473" s="3" t="s">
        <v>56</v>
      </c>
      <c r="K473" s="3" t="s">
        <v>57</v>
      </c>
      <c r="L473" s="3" t="s">
        <v>181</v>
      </c>
      <c r="M473" s="3" t="s">
        <v>180</v>
      </c>
      <c r="N473" s="4" t="n">
        <v>72</v>
      </c>
      <c r="O473" s="5" t="n">
        <v>5.07</v>
      </c>
      <c r="P473" s="6" t="n">
        <v>0.15</v>
      </c>
      <c r="Q473" s="5" t="n">
        <f aca="false">N473*O473*(1-P473)</f>
        <v>310.284</v>
      </c>
      <c r="R473" s="5" t="n">
        <v>208.45</v>
      </c>
      <c r="S473" s="6" t="n">
        <f aca="false">IFERROR((Q473-R473)/Q473,0)</f>
        <v>0.328196104214204</v>
      </c>
    </row>
    <row r="474" customFormat="false" ht="15" hidden="false" customHeight="false" outlineLevel="0" collapsed="false">
      <c r="A474" s="2" t="n">
        <v>45717</v>
      </c>
      <c r="B474" s="3" t="s">
        <v>392</v>
      </c>
      <c r="C474" s="3" t="s">
        <v>70</v>
      </c>
      <c r="D474" s="3" t="s">
        <v>71</v>
      </c>
      <c r="E474" s="3" t="s">
        <v>72</v>
      </c>
      <c r="F474" s="3" t="s">
        <v>45</v>
      </c>
      <c r="G474" s="3" t="s">
        <v>39</v>
      </c>
      <c r="H474" s="3" t="s">
        <v>138</v>
      </c>
      <c r="I474" s="3" t="s">
        <v>139</v>
      </c>
      <c r="J474" s="3" t="s">
        <v>27</v>
      </c>
      <c r="K474" s="3" t="s">
        <v>140</v>
      </c>
      <c r="L474" s="3" t="s">
        <v>50</v>
      </c>
      <c r="M474" s="3" t="s">
        <v>45</v>
      </c>
      <c r="N474" s="4" t="n">
        <v>96</v>
      </c>
      <c r="O474" s="5" t="n">
        <v>3.55</v>
      </c>
      <c r="P474" s="6" t="n">
        <v>0.05</v>
      </c>
      <c r="Q474" s="5" t="n">
        <f aca="false">N474*O474*(1-P474)</f>
        <v>323.76</v>
      </c>
      <c r="R474" s="5" t="n">
        <v>223.55</v>
      </c>
      <c r="S474" s="6" t="n">
        <f aca="false">IFERROR((Q474-R474)/Q474,0)</f>
        <v>0.30951939708426</v>
      </c>
    </row>
    <row r="475" customFormat="false" ht="15" hidden="false" customHeight="false" outlineLevel="0" collapsed="false">
      <c r="A475" s="2" t="n">
        <v>45725</v>
      </c>
      <c r="B475" s="3" t="s">
        <v>393</v>
      </c>
      <c r="C475" s="3" t="s">
        <v>194</v>
      </c>
      <c r="D475" s="3" t="s">
        <v>195</v>
      </c>
      <c r="E475" s="3" t="s">
        <v>196</v>
      </c>
      <c r="F475" s="3" t="s">
        <v>38</v>
      </c>
      <c r="G475" s="3" t="s">
        <v>39</v>
      </c>
      <c r="H475" s="3" t="s">
        <v>65</v>
      </c>
      <c r="I475" s="3" t="s">
        <v>66</v>
      </c>
      <c r="J475" s="3" t="s">
        <v>67</v>
      </c>
      <c r="K475" s="3" t="s">
        <v>68</v>
      </c>
      <c r="L475" s="3" t="s">
        <v>40</v>
      </c>
      <c r="M475" s="3" t="s">
        <v>38</v>
      </c>
      <c r="N475" s="4" t="n">
        <v>48</v>
      </c>
      <c r="O475" s="5" t="n">
        <v>29.12</v>
      </c>
      <c r="P475" s="6" t="n">
        <v>0.15</v>
      </c>
      <c r="Q475" s="5" t="n">
        <f aca="false">N475*O475*(1-P475)</f>
        <v>1188.096</v>
      </c>
      <c r="R475" s="5" t="n">
        <v>818.15</v>
      </c>
      <c r="S475" s="6" t="n">
        <f aca="false">IFERROR((Q475-R475)/Q475,0)</f>
        <v>0.311377195108813</v>
      </c>
    </row>
    <row r="476" customFormat="false" ht="15" hidden="false" customHeight="false" outlineLevel="0" collapsed="false">
      <c r="A476" s="2" t="n">
        <v>45726</v>
      </c>
      <c r="B476" s="3" t="s">
        <v>394</v>
      </c>
      <c r="C476" s="3" t="s">
        <v>213</v>
      </c>
      <c r="D476" s="3" t="s">
        <v>214</v>
      </c>
      <c r="E476" s="3" t="s">
        <v>215</v>
      </c>
      <c r="F476" s="3" t="s">
        <v>180</v>
      </c>
      <c r="G476" s="3" t="s">
        <v>39</v>
      </c>
      <c r="H476" s="3" t="s">
        <v>84</v>
      </c>
      <c r="I476" s="3" t="s">
        <v>85</v>
      </c>
      <c r="J476" s="3" t="s">
        <v>56</v>
      </c>
      <c r="K476" s="3" t="s">
        <v>86</v>
      </c>
      <c r="L476" s="3" t="s">
        <v>181</v>
      </c>
      <c r="M476" s="3" t="s">
        <v>180</v>
      </c>
      <c r="N476" s="4" t="n">
        <v>24</v>
      </c>
      <c r="O476" s="5" t="n">
        <v>5.56</v>
      </c>
      <c r="P476" s="6" t="n">
        <v>0</v>
      </c>
      <c r="Q476" s="5" t="n">
        <f aca="false">N476*O476*(1-P476)</f>
        <v>133.44</v>
      </c>
      <c r="R476" s="5" t="n">
        <v>74.45</v>
      </c>
      <c r="S476" s="6" t="n">
        <f aca="false">IFERROR((Q476-R476)/Q476,0)</f>
        <v>0.442071342925659</v>
      </c>
    </row>
    <row r="477" customFormat="false" ht="15" hidden="false" customHeight="false" outlineLevel="0" collapsed="false">
      <c r="A477" s="2" t="n">
        <v>45726</v>
      </c>
      <c r="B477" s="3" t="s">
        <v>394</v>
      </c>
      <c r="C477" s="3" t="s">
        <v>213</v>
      </c>
      <c r="D477" s="3" t="s">
        <v>214</v>
      </c>
      <c r="E477" s="3" t="s">
        <v>215</v>
      </c>
      <c r="F477" s="3" t="s">
        <v>180</v>
      </c>
      <c r="G477" s="3" t="s">
        <v>39</v>
      </c>
      <c r="H477" s="3" t="s">
        <v>171</v>
      </c>
      <c r="I477" s="3" t="s">
        <v>172</v>
      </c>
      <c r="J477" s="3" t="s">
        <v>27</v>
      </c>
      <c r="K477" s="3" t="s">
        <v>140</v>
      </c>
      <c r="L477" s="3" t="s">
        <v>181</v>
      </c>
      <c r="M477" s="3" t="s">
        <v>180</v>
      </c>
      <c r="N477" s="4" t="n">
        <v>72</v>
      </c>
      <c r="O477" s="5" t="n">
        <v>4.24</v>
      </c>
      <c r="P477" s="6" t="n">
        <v>0.1</v>
      </c>
      <c r="Q477" s="5" t="n">
        <f aca="false">N477*O477*(1-P477)</f>
        <v>274.752</v>
      </c>
      <c r="R477" s="5" t="n">
        <v>178.07</v>
      </c>
      <c r="S477" s="6" t="n">
        <f aca="false">IFERROR((Q477-R477)/Q477,0)</f>
        <v>0.351888248311204</v>
      </c>
    </row>
    <row r="478" customFormat="false" ht="15" hidden="false" customHeight="false" outlineLevel="0" collapsed="false">
      <c r="A478" s="2" t="n">
        <v>45726</v>
      </c>
      <c r="B478" s="3" t="s">
        <v>394</v>
      </c>
      <c r="C478" s="3" t="s">
        <v>213</v>
      </c>
      <c r="D478" s="3" t="s">
        <v>214</v>
      </c>
      <c r="E478" s="3" t="s">
        <v>215</v>
      </c>
      <c r="F478" s="3" t="s">
        <v>180</v>
      </c>
      <c r="G478" s="3" t="s">
        <v>39</v>
      </c>
      <c r="H478" s="3" t="s">
        <v>132</v>
      </c>
      <c r="I478" s="3" t="s">
        <v>133</v>
      </c>
      <c r="J478" s="3" t="s">
        <v>27</v>
      </c>
      <c r="K478" s="3" t="s">
        <v>28</v>
      </c>
      <c r="L478" s="3" t="s">
        <v>181</v>
      </c>
      <c r="M478" s="3" t="s">
        <v>180</v>
      </c>
      <c r="N478" s="4" t="n">
        <v>24</v>
      </c>
      <c r="O478" s="5" t="n">
        <v>12.82</v>
      </c>
      <c r="P478" s="6" t="n">
        <v>0.05</v>
      </c>
      <c r="Q478" s="5" t="n">
        <f aca="false">N478*O478*(1-P478)</f>
        <v>292.296</v>
      </c>
      <c r="R478" s="5" t="n">
        <v>195.98</v>
      </c>
      <c r="S478" s="6" t="n">
        <f aca="false">IFERROR((Q478-R478)/Q478,0)</f>
        <v>0.329515285874593</v>
      </c>
    </row>
    <row r="479" customFormat="false" ht="15" hidden="false" customHeight="false" outlineLevel="0" collapsed="false">
      <c r="A479" s="2" t="n">
        <v>45727</v>
      </c>
      <c r="B479" s="3" t="s">
        <v>395</v>
      </c>
      <c r="C479" s="3" t="s">
        <v>116</v>
      </c>
      <c r="D479" s="3" t="s">
        <v>117</v>
      </c>
      <c r="E479" s="3" t="s">
        <v>118</v>
      </c>
      <c r="F479" s="3" t="s">
        <v>45</v>
      </c>
      <c r="G479" s="3" t="s">
        <v>39</v>
      </c>
      <c r="H479" s="3" t="s">
        <v>222</v>
      </c>
      <c r="I479" s="3" t="s">
        <v>223</v>
      </c>
      <c r="J479" s="3" t="s">
        <v>67</v>
      </c>
      <c r="K479" s="3" t="s">
        <v>184</v>
      </c>
      <c r="L479" s="3" t="s">
        <v>50</v>
      </c>
      <c r="M479" s="3" t="s">
        <v>45</v>
      </c>
      <c r="N479" s="4" t="n">
        <v>72</v>
      </c>
      <c r="O479" s="5" t="n">
        <v>19.8</v>
      </c>
      <c r="P479" s="6" t="n">
        <v>0.05</v>
      </c>
      <c r="Q479" s="5" t="n">
        <f aca="false">N479*O479*(1-P479)</f>
        <v>1354.32</v>
      </c>
      <c r="R479" s="5" t="n">
        <v>820.7</v>
      </c>
      <c r="S479" s="6" t="n">
        <f aca="false">IFERROR((Q479-R479)/Q479,0)</f>
        <v>0.39401323173253</v>
      </c>
    </row>
    <row r="480" customFormat="false" ht="15" hidden="false" customHeight="false" outlineLevel="0" collapsed="false">
      <c r="A480" s="2" t="n">
        <v>45727</v>
      </c>
      <c r="B480" s="3" t="s">
        <v>395</v>
      </c>
      <c r="C480" s="3" t="s">
        <v>116</v>
      </c>
      <c r="D480" s="3" t="s">
        <v>117</v>
      </c>
      <c r="E480" s="3" t="s">
        <v>118</v>
      </c>
      <c r="F480" s="3" t="s">
        <v>45</v>
      </c>
      <c r="G480" s="3" t="s">
        <v>39</v>
      </c>
      <c r="H480" s="3" t="s">
        <v>164</v>
      </c>
      <c r="I480" s="3" t="s">
        <v>165</v>
      </c>
      <c r="J480" s="3" t="s">
        <v>32</v>
      </c>
      <c r="K480" s="3" t="s">
        <v>60</v>
      </c>
      <c r="L480" s="3" t="s">
        <v>50</v>
      </c>
      <c r="M480" s="3" t="s">
        <v>45</v>
      </c>
      <c r="N480" s="4" t="n">
        <v>60</v>
      </c>
      <c r="O480" s="5" t="n">
        <v>14.63</v>
      </c>
      <c r="P480" s="6" t="n">
        <v>0.15</v>
      </c>
      <c r="Q480" s="5" t="n">
        <f aca="false">N480*O480*(1-P480)</f>
        <v>746.13</v>
      </c>
      <c r="R480" s="5" t="n">
        <v>537.46</v>
      </c>
      <c r="S480" s="6" t="n">
        <f aca="false">IFERROR((Q480-R480)/Q480,0)</f>
        <v>0.279669762641899</v>
      </c>
    </row>
    <row r="481" customFormat="false" ht="15" hidden="false" customHeight="false" outlineLevel="0" collapsed="false">
      <c r="A481" s="2" t="n">
        <v>45727</v>
      </c>
      <c r="B481" s="3" t="s">
        <v>395</v>
      </c>
      <c r="C481" s="3" t="s">
        <v>116</v>
      </c>
      <c r="D481" s="3" t="s">
        <v>117</v>
      </c>
      <c r="E481" s="3" t="s">
        <v>118</v>
      </c>
      <c r="F481" s="3" t="s">
        <v>45</v>
      </c>
      <c r="G481" s="3" t="s">
        <v>39</v>
      </c>
      <c r="H481" s="3" t="s">
        <v>112</v>
      </c>
      <c r="I481" s="3" t="s">
        <v>113</v>
      </c>
      <c r="J481" s="3" t="s">
        <v>67</v>
      </c>
      <c r="K481" s="3" t="s">
        <v>114</v>
      </c>
      <c r="L481" s="3" t="s">
        <v>50</v>
      </c>
      <c r="M481" s="3" t="s">
        <v>45</v>
      </c>
      <c r="N481" s="4" t="n">
        <v>96</v>
      </c>
      <c r="O481" s="5" t="n">
        <v>9.78</v>
      </c>
      <c r="P481" s="6" t="n">
        <v>0</v>
      </c>
      <c r="Q481" s="5" t="n">
        <f aca="false">N481*O481*(1-P481)</f>
        <v>938.88</v>
      </c>
      <c r="R481" s="5" t="n">
        <v>570.72</v>
      </c>
      <c r="S481" s="6" t="n">
        <f aca="false">IFERROR((Q481-R481)/Q481,0)</f>
        <v>0.392126789366053</v>
      </c>
    </row>
    <row r="482" customFormat="false" ht="15" hidden="false" customHeight="false" outlineLevel="0" collapsed="false">
      <c r="A482" s="2" t="n">
        <v>45727</v>
      </c>
      <c r="B482" s="3" t="s">
        <v>396</v>
      </c>
      <c r="C482" s="3" t="s">
        <v>35</v>
      </c>
      <c r="D482" s="3" t="s">
        <v>36</v>
      </c>
      <c r="E482" s="3" t="s">
        <v>37</v>
      </c>
      <c r="F482" s="3" t="s">
        <v>38</v>
      </c>
      <c r="G482" s="3" t="s">
        <v>39</v>
      </c>
      <c r="H482" s="3" t="s">
        <v>98</v>
      </c>
      <c r="I482" s="3" t="s">
        <v>99</v>
      </c>
      <c r="J482" s="3" t="s">
        <v>89</v>
      </c>
      <c r="K482" s="3" t="s">
        <v>100</v>
      </c>
      <c r="L482" s="3" t="s">
        <v>40</v>
      </c>
      <c r="M482" s="3" t="s">
        <v>38</v>
      </c>
      <c r="N482" s="4" t="n">
        <v>72</v>
      </c>
      <c r="O482" s="5" t="n">
        <v>22.14</v>
      </c>
      <c r="P482" s="6" t="n">
        <v>0</v>
      </c>
      <c r="Q482" s="5" t="n">
        <f aca="false">N482*O482*(1-P482)</f>
        <v>1594.08</v>
      </c>
      <c r="R482" s="5" t="n">
        <v>997.26</v>
      </c>
      <c r="S482" s="6" t="n">
        <f aca="false">IFERROR((Q482-R482)/Q482,0)</f>
        <v>0.374397771755495</v>
      </c>
    </row>
    <row r="483" customFormat="false" ht="15" hidden="false" customHeight="false" outlineLevel="0" collapsed="false">
      <c r="A483" s="2" t="n">
        <v>45727</v>
      </c>
      <c r="B483" s="3" t="s">
        <v>396</v>
      </c>
      <c r="C483" s="3" t="s">
        <v>35</v>
      </c>
      <c r="D483" s="3" t="s">
        <v>36</v>
      </c>
      <c r="E483" s="3" t="s">
        <v>37</v>
      </c>
      <c r="F483" s="3" t="s">
        <v>38</v>
      </c>
      <c r="G483" s="3" t="s">
        <v>39</v>
      </c>
      <c r="H483" s="3" t="s">
        <v>189</v>
      </c>
      <c r="I483" s="3" t="s">
        <v>190</v>
      </c>
      <c r="J483" s="3" t="s">
        <v>27</v>
      </c>
      <c r="K483" s="3" t="s">
        <v>149</v>
      </c>
      <c r="L483" s="3" t="s">
        <v>40</v>
      </c>
      <c r="M483" s="3" t="s">
        <v>38</v>
      </c>
      <c r="N483" s="4" t="n">
        <v>24</v>
      </c>
      <c r="O483" s="5" t="n">
        <v>9.93</v>
      </c>
      <c r="P483" s="6" t="n">
        <v>0</v>
      </c>
      <c r="Q483" s="5" t="n">
        <f aca="false">N483*O483*(1-P483)</f>
        <v>238.32</v>
      </c>
      <c r="R483" s="5" t="n">
        <v>137.28</v>
      </c>
      <c r="S483" s="6" t="n">
        <f aca="false">IFERROR((Q483-R483)/Q483,0)</f>
        <v>0.423967774420947</v>
      </c>
    </row>
    <row r="484" customFormat="false" ht="15" hidden="false" customHeight="false" outlineLevel="0" collapsed="false">
      <c r="A484" s="2" t="n">
        <v>45727</v>
      </c>
      <c r="B484" s="3" t="s">
        <v>396</v>
      </c>
      <c r="C484" s="3" t="s">
        <v>35</v>
      </c>
      <c r="D484" s="3" t="s">
        <v>36</v>
      </c>
      <c r="E484" s="3" t="s">
        <v>37</v>
      </c>
      <c r="F484" s="3" t="s">
        <v>38</v>
      </c>
      <c r="G484" s="3" t="s">
        <v>39</v>
      </c>
      <c r="H484" s="3" t="s">
        <v>58</v>
      </c>
      <c r="I484" s="3" t="s">
        <v>59</v>
      </c>
      <c r="J484" s="3" t="s">
        <v>32</v>
      </c>
      <c r="K484" s="3" t="s">
        <v>60</v>
      </c>
      <c r="L484" s="3" t="s">
        <v>40</v>
      </c>
      <c r="M484" s="3" t="s">
        <v>38</v>
      </c>
      <c r="N484" s="4" t="n">
        <v>120</v>
      </c>
      <c r="O484" s="5" t="n">
        <v>5.63</v>
      </c>
      <c r="P484" s="6" t="n">
        <v>0</v>
      </c>
      <c r="Q484" s="5" t="n">
        <f aca="false">N484*O484*(1-P484)</f>
        <v>675.6</v>
      </c>
      <c r="R484" s="5" t="n">
        <v>408.59</v>
      </c>
      <c r="S484" s="6" t="n">
        <f aca="false">IFERROR((Q484-R484)/Q484,0)</f>
        <v>0.395219064535228</v>
      </c>
    </row>
    <row r="485" customFormat="false" ht="15" hidden="false" customHeight="false" outlineLevel="0" collapsed="false">
      <c r="A485" s="2" t="n">
        <v>45731</v>
      </c>
      <c r="B485" s="3" t="s">
        <v>397</v>
      </c>
      <c r="C485" s="3" t="s">
        <v>62</v>
      </c>
      <c r="D485" s="3" t="s">
        <v>63</v>
      </c>
      <c r="E485" s="3" t="s">
        <v>64</v>
      </c>
      <c r="F485" s="3" t="s">
        <v>38</v>
      </c>
      <c r="G485" s="3" t="s">
        <v>39</v>
      </c>
      <c r="H485" s="3" t="s">
        <v>87</v>
      </c>
      <c r="I485" s="3" t="s">
        <v>88</v>
      </c>
      <c r="J485" s="3" t="s">
        <v>89</v>
      </c>
      <c r="K485" s="3" t="s">
        <v>90</v>
      </c>
      <c r="L485" s="3" t="s">
        <v>40</v>
      </c>
      <c r="M485" s="3" t="s">
        <v>38</v>
      </c>
      <c r="N485" s="4" t="n">
        <v>96</v>
      </c>
      <c r="O485" s="5" t="n">
        <v>15.77</v>
      </c>
      <c r="P485" s="6" t="n">
        <v>0</v>
      </c>
      <c r="Q485" s="5" t="n">
        <f aca="false">N485*O485*(1-P485)</f>
        <v>1513.92</v>
      </c>
      <c r="R485" s="5" t="n">
        <v>966.35</v>
      </c>
      <c r="S485" s="6" t="n">
        <f aca="false">IFERROR((Q485-R485)/Q485,0)</f>
        <v>0.361690181779751</v>
      </c>
    </row>
    <row r="486" customFormat="false" ht="15" hidden="false" customHeight="false" outlineLevel="0" collapsed="false">
      <c r="A486" s="2" t="n">
        <v>45733</v>
      </c>
      <c r="B486" s="3" t="s">
        <v>398</v>
      </c>
      <c r="C486" s="3" t="s">
        <v>62</v>
      </c>
      <c r="D486" s="3" t="s">
        <v>63</v>
      </c>
      <c r="E486" s="3" t="s">
        <v>64</v>
      </c>
      <c r="F486" s="3" t="s">
        <v>38</v>
      </c>
      <c r="G486" s="3" t="s">
        <v>39</v>
      </c>
      <c r="H486" s="3" t="s">
        <v>171</v>
      </c>
      <c r="I486" s="3" t="s">
        <v>172</v>
      </c>
      <c r="J486" s="3" t="s">
        <v>27</v>
      </c>
      <c r="K486" s="3" t="s">
        <v>140</v>
      </c>
      <c r="L486" s="3" t="s">
        <v>29</v>
      </c>
      <c r="M486" s="3" t="s">
        <v>23</v>
      </c>
      <c r="N486" s="4" t="n">
        <v>120</v>
      </c>
      <c r="O486" s="5" t="n">
        <v>3.91</v>
      </c>
      <c r="P486" s="6" t="n">
        <v>0</v>
      </c>
      <c r="Q486" s="5" t="n">
        <f aca="false">N486*O486*(1-P486)</f>
        <v>469.2</v>
      </c>
      <c r="R486" s="5" t="n">
        <v>295.82</v>
      </c>
      <c r="S486" s="6" t="n">
        <f aca="false">IFERROR((Q486-R486)/Q486,0)</f>
        <v>0.369522591645354</v>
      </c>
    </row>
    <row r="487" customFormat="false" ht="15" hidden="false" customHeight="false" outlineLevel="0" collapsed="false">
      <c r="A487" s="2" t="n">
        <v>45733</v>
      </c>
      <c r="B487" s="3" t="s">
        <v>398</v>
      </c>
      <c r="C487" s="3" t="s">
        <v>62</v>
      </c>
      <c r="D487" s="3" t="s">
        <v>63</v>
      </c>
      <c r="E487" s="3" t="s">
        <v>64</v>
      </c>
      <c r="F487" s="3" t="s">
        <v>38</v>
      </c>
      <c r="G487" s="3" t="s">
        <v>39</v>
      </c>
      <c r="H487" s="3" t="s">
        <v>51</v>
      </c>
      <c r="I487" s="3" t="s">
        <v>52</v>
      </c>
      <c r="J487" s="3" t="s">
        <v>27</v>
      </c>
      <c r="K487" s="3" t="s">
        <v>53</v>
      </c>
      <c r="L487" s="3" t="s">
        <v>29</v>
      </c>
      <c r="M487" s="3" t="s">
        <v>23</v>
      </c>
      <c r="N487" s="4" t="n">
        <v>60</v>
      </c>
      <c r="O487" s="5" t="n">
        <v>21.01</v>
      </c>
      <c r="P487" s="6" t="n">
        <v>0</v>
      </c>
      <c r="Q487" s="5" t="n">
        <f aca="false">N487*O487*(1-P487)</f>
        <v>1260.6</v>
      </c>
      <c r="R487" s="5" t="n">
        <v>827.18</v>
      </c>
      <c r="S487" s="6" t="n">
        <f aca="false">IFERROR((Q487-R487)/Q487,0)</f>
        <v>0.343820402982707</v>
      </c>
    </row>
    <row r="488" customFormat="false" ht="15" hidden="false" customHeight="false" outlineLevel="0" collapsed="false">
      <c r="A488" s="2" t="n">
        <v>45733</v>
      </c>
      <c r="B488" s="3" t="s">
        <v>398</v>
      </c>
      <c r="C488" s="3" t="s">
        <v>62</v>
      </c>
      <c r="D488" s="3" t="s">
        <v>63</v>
      </c>
      <c r="E488" s="3" t="s">
        <v>64</v>
      </c>
      <c r="F488" s="3" t="s">
        <v>38</v>
      </c>
      <c r="G488" s="3" t="s">
        <v>39</v>
      </c>
      <c r="H488" s="3" t="s">
        <v>138</v>
      </c>
      <c r="I488" s="3" t="s">
        <v>139</v>
      </c>
      <c r="J488" s="3" t="s">
        <v>27</v>
      </c>
      <c r="K488" s="3" t="s">
        <v>140</v>
      </c>
      <c r="L488" s="3" t="s">
        <v>29</v>
      </c>
      <c r="M488" s="3" t="s">
        <v>23</v>
      </c>
      <c r="N488" s="4" t="n">
        <v>48</v>
      </c>
      <c r="O488" s="5" t="n">
        <v>3.97</v>
      </c>
      <c r="P488" s="6" t="n">
        <v>0.05</v>
      </c>
      <c r="Q488" s="5" t="n">
        <f aca="false">N488*O488*(1-P488)</f>
        <v>181.032</v>
      </c>
      <c r="R488" s="5" t="n">
        <v>110.18</v>
      </c>
      <c r="S488" s="6" t="n">
        <f aca="false">IFERROR((Q488-R488)/Q488,0)</f>
        <v>0.391378319855053</v>
      </c>
    </row>
    <row r="489" customFormat="false" ht="15" hidden="false" customHeight="false" outlineLevel="0" collapsed="false">
      <c r="A489" s="2" t="n">
        <v>45733</v>
      </c>
      <c r="B489" s="3" t="s">
        <v>398</v>
      </c>
      <c r="C489" s="3" t="s">
        <v>62</v>
      </c>
      <c r="D489" s="3" t="s">
        <v>63</v>
      </c>
      <c r="E489" s="3" t="s">
        <v>64</v>
      </c>
      <c r="F489" s="3" t="s">
        <v>38</v>
      </c>
      <c r="G489" s="3" t="s">
        <v>39</v>
      </c>
      <c r="H489" s="3" t="s">
        <v>58</v>
      </c>
      <c r="I489" s="3" t="s">
        <v>59</v>
      </c>
      <c r="J489" s="3" t="s">
        <v>32</v>
      </c>
      <c r="K489" s="3" t="s">
        <v>60</v>
      </c>
      <c r="L489" s="3" t="s">
        <v>29</v>
      </c>
      <c r="M489" s="3" t="s">
        <v>23</v>
      </c>
      <c r="N489" s="4" t="n">
        <v>96</v>
      </c>
      <c r="O489" s="5" t="n">
        <v>5.62</v>
      </c>
      <c r="P489" s="6" t="n">
        <v>0</v>
      </c>
      <c r="Q489" s="5" t="n">
        <f aca="false">N489*O489*(1-P489)</f>
        <v>539.52</v>
      </c>
      <c r="R489" s="5" t="n">
        <v>327.83</v>
      </c>
      <c r="S489" s="6" t="n">
        <f aca="false">IFERROR((Q489-R489)/Q489,0)</f>
        <v>0.392367289442467</v>
      </c>
    </row>
    <row r="490" customFormat="false" ht="15" hidden="false" customHeight="false" outlineLevel="0" collapsed="false">
      <c r="A490" s="2" t="n">
        <v>45733</v>
      </c>
      <c r="B490" s="3" t="s">
        <v>399</v>
      </c>
      <c r="C490" s="3" t="s">
        <v>155</v>
      </c>
      <c r="D490" s="3" t="s">
        <v>156</v>
      </c>
      <c r="E490" s="3" t="s">
        <v>157</v>
      </c>
      <c r="F490" s="3" t="s">
        <v>38</v>
      </c>
      <c r="G490" s="3" t="s">
        <v>39</v>
      </c>
      <c r="H490" s="3" t="s">
        <v>96</v>
      </c>
      <c r="I490" s="3" t="s">
        <v>97</v>
      </c>
      <c r="J490" s="3" t="s">
        <v>48</v>
      </c>
      <c r="K490" s="3" t="s">
        <v>75</v>
      </c>
      <c r="L490" s="3" t="s">
        <v>40</v>
      </c>
      <c r="M490" s="3" t="s">
        <v>38</v>
      </c>
      <c r="N490" s="4" t="n">
        <v>120</v>
      </c>
      <c r="O490" s="5" t="n">
        <v>7.98</v>
      </c>
      <c r="P490" s="6" t="n">
        <v>0</v>
      </c>
      <c r="Q490" s="5" t="n">
        <f aca="false">N490*O490*(1-P490)</f>
        <v>957.6</v>
      </c>
      <c r="R490" s="5" t="n">
        <v>583.61</v>
      </c>
      <c r="S490" s="6" t="n">
        <f aca="false">IFERROR((Q490-R490)/Q490,0)</f>
        <v>0.390549289891395</v>
      </c>
    </row>
    <row r="491" customFormat="false" ht="15" hidden="false" customHeight="false" outlineLevel="0" collapsed="false">
      <c r="A491" s="2" t="n">
        <v>45733</v>
      </c>
      <c r="B491" s="3" t="s">
        <v>399</v>
      </c>
      <c r="C491" s="3" t="s">
        <v>155</v>
      </c>
      <c r="D491" s="3" t="s">
        <v>156</v>
      </c>
      <c r="E491" s="3" t="s">
        <v>157</v>
      </c>
      <c r="F491" s="3" t="s">
        <v>38</v>
      </c>
      <c r="G491" s="3" t="s">
        <v>39</v>
      </c>
      <c r="H491" s="3" t="s">
        <v>138</v>
      </c>
      <c r="I491" s="3" t="s">
        <v>139</v>
      </c>
      <c r="J491" s="3" t="s">
        <v>27</v>
      </c>
      <c r="K491" s="3" t="s">
        <v>140</v>
      </c>
      <c r="L491" s="3" t="s">
        <v>40</v>
      </c>
      <c r="M491" s="3" t="s">
        <v>38</v>
      </c>
      <c r="N491" s="4" t="n">
        <v>120</v>
      </c>
      <c r="O491" s="5" t="n">
        <v>3.66</v>
      </c>
      <c r="P491" s="6" t="n">
        <v>0</v>
      </c>
      <c r="Q491" s="5" t="n">
        <f aca="false">N491*O491*(1-P491)</f>
        <v>439.2</v>
      </c>
      <c r="R491" s="5" t="n">
        <v>276.84</v>
      </c>
      <c r="S491" s="6" t="n">
        <f aca="false">IFERROR((Q491-R491)/Q491,0)</f>
        <v>0.369672131147541</v>
      </c>
    </row>
    <row r="492" customFormat="false" ht="15" hidden="false" customHeight="false" outlineLevel="0" collapsed="false">
      <c r="A492" s="2" t="n">
        <v>45735</v>
      </c>
      <c r="B492" s="3" t="s">
        <v>400</v>
      </c>
      <c r="C492" s="3" t="s">
        <v>253</v>
      </c>
      <c r="D492" s="3" t="s">
        <v>254</v>
      </c>
      <c r="E492" s="3" t="s">
        <v>255</v>
      </c>
      <c r="F492" s="3" t="s">
        <v>38</v>
      </c>
      <c r="G492" s="3" t="s">
        <v>95</v>
      </c>
      <c r="H492" s="3" t="s">
        <v>145</v>
      </c>
      <c r="I492" s="3" t="s">
        <v>146</v>
      </c>
      <c r="J492" s="3" t="s">
        <v>32</v>
      </c>
      <c r="K492" s="3" t="s">
        <v>33</v>
      </c>
      <c r="L492" s="3" t="s">
        <v>106</v>
      </c>
      <c r="M492" s="3" t="s">
        <v>107</v>
      </c>
      <c r="N492" s="4" t="n">
        <v>120</v>
      </c>
      <c r="O492" s="5" t="n">
        <v>18.43</v>
      </c>
      <c r="P492" s="6" t="n">
        <v>0.15</v>
      </c>
      <c r="Q492" s="5" t="n">
        <f aca="false">N492*O492*(1-P492)</f>
        <v>1879.86</v>
      </c>
      <c r="R492" s="5" t="n">
        <v>1394.51</v>
      </c>
      <c r="S492" s="6" t="n">
        <f aca="false">IFERROR((Q492-R492)/Q492,0)</f>
        <v>0.25818412009405</v>
      </c>
    </row>
    <row r="493" customFormat="false" ht="15" hidden="false" customHeight="false" outlineLevel="0" collapsed="false">
      <c r="A493" s="2" t="n">
        <v>45735</v>
      </c>
      <c r="B493" s="3" t="s">
        <v>400</v>
      </c>
      <c r="C493" s="3" t="s">
        <v>253</v>
      </c>
      <c r="D493" s="3" t="s">
        <v>254</v>
      </c>
      <c r="E493" s="3" t="s">
        <v>255</v>
      </c>
      <c r="F493" s="3" t="s">
        <v>38</v>
      </c>
      <c r="G493" s="3" t="s">
        <v>95</v>
      </c>
      <c r="H493" s="3" t="s">
        <v>87</v>
      </c>
      <c r="I493" s="3" t="s">
        <v>88</v>
      </c>
      <c r="J493" s="3" t="s">
        <v>89</v>
      </c>
      <c r="K493" s="3" t="s">
        <v>90</v>
      </c>
      <c r="L493" s="3" t="s">
        <v>106</v>
      </c>
      <c r="M493" s="3" t="s">
        <v>107</v>
      </c>
      <c r="N493" s="4" t="n">
        <v>72</v>
      </c>
      <c r="O493" s="5" t="n">
        <v>17.48</v>
      </c>
      <c r="P493" s="6" t="n">
        <v>0</v>
      </c>
      <c r="Q493" s="5" t="n">
        <f aca="false">N493*O493*(1-P493)</f>
        <v>1258.56</v>
      </c>
      <c r="R493" s="5" t="n">
        <v>729.29</v>
      </c>
      <c r="S493" s="6" t="n">
        <f aca="false">IFERROR((Q493-R493)/Q493,0)</f>
        <v>0.420536168319349</v>
      </c>
    </row>
    <row r="494" customFormat="false" ht="15" hidden="false" customHeight="false" outlineLevel="0" collapsed="false">
      <c r="A494" s="2" t="n">
        <v>45735</v>
      </c>
      <c r="B494" s="3" t="s">
        <v>401</v>
      </c>
      <c r="C494" s="3" t="s">
        <v>62</v>
      </c>
      <c r="D494" s="3" t="s">
        <v>63</v>
      </c>
      <c r="E494" s="3" t="s">
        <v>64</v>
      </c>
      <c r="F494" s="3" t="s">
        <v>38</v>
      </c>
      <c r="G494" s="3" t="s">
        <v>39</v>
      </c>
      <c r="H494" s="3" t="s">
        <v>182</v>
      </c>
      <c r="I494" s="3" t="s">
        <v>183</v>
      </c>
      <c r="J494" s="3" t="s">
        <v>67</v>
      </c>
      <c r="K494" s="3" t="s">
        <v>184</v>
      </c>
      <c r="L494" s="3" t="s">
        <v>40</v>
      </c>
      <c r="M494" s="3" t="s">
        <v>38</v>
      </c>
      <c r="N494" s="4" t="n">
        <v>6</v>
      </c>
      <c r="O494" s="5" t="n">
        <v>12.22</v>
      </c>
      <c r="P494" s="6" t="n">
        <v>0</v>
      </c>
      <c r="Q494" s="5" t="n">
        <f aca="false">N494*O494*(1-P494)</f>
        <v>73.32</v>
      </c>
      <c r="R494" s="5" t="n">
        <v>46.97</v>
      </c>
      <c r="S494" s="6" t="n">
        <f aca="false">IFERROR((Q494-R494)/Q494,0)</f>
        <v>0.359383524277141</v>
      </c>
    </row>
    <row r="495" customFormat="false" ht="15" hidden="false" customHeight="false" outlineLevel="0" collapsed="false">
      <c r="A495" s="2" t="n">
        <v>45737</v>
      </c>
      <c r="B495" s="3" t="s">
        <v>402</v>
      </c>
      <c r="C495" s="3" t="s">
        <v>155</v>
      </c>
      <c r="D495" s="3" t="s">
        <v>156</v>
      </c>
      <c r="E495" s="3" t="s">
        <v>157</v>
      </c>
      <c r="F495" s="3" t="s">
        <v>38</v>
      </c>
      <c r="G495" s="3" t="s">
        <v>39</v>
      </c>
      <c r="H495" s="3" t="s">
        <v>54</v>
      </c>
      <c r="I495" s="3" t="s">
        <v>55</v>
      </c>
      <c r="J495" s="3" t="s">
        <v>56</v>
      </c>
      <c r="K495" s="3" t="s">
        <v>57</v>
      </c>
      <c r="L495" s="3" t="s">
        <v>40</v>
      </c>
      <c r="M495" s="3" t="s">
        <v>38</v>
      </c>
      <c r="N495" s="4" t="n">
        <v>6</v>
      </c>
      <c r="O495" s="5" t="n">
        <v>4.47</v>
      </c>
      <c r="P495" s="6" t="n">
        <v>0.05</v>
      </c>
      <c r="Q495" s="5" t="n">
        <f aca="false">N495*O495*(1-P495)</f>
        <v>25.479</v>
      </c>
      <c r="R495" s="5" t="n">
        <v>17.3</v>
      </c>
      <c r="S495" s="6" t="n">
        <f aca="false">IFERROR((Q495-R495)/Q495,0)</f>
        <v>0.321009458769967</v>
      </c>
    </row>
    <row r="496" customFormat="false" ht="15" hidden="false" customHeight="false" outlineLevel="0" collapsed="false">
      <c r="A496" s="2" t="n">
        <v>45737</v>
      </c>
      <c r="B496" s="3" t="s">
        <v>402</v>
      </c>
      <c r="C496" s="3" t="s">
        <v>155</v>
      </c>
      <c r="D496" s="3" t="s">
        <v>156</v>
      </c>
      <c r="E496" s="3" t="s">
        <v>157</v>
      </c>
      <c r="F496" s="3" t="s">
        <v>38</v>
      </c>
      <c r="G496" s="3" t="s">
        <v>39</v>
      </c>
      <c r="H496" s="3" t="s">
        <v>30</v>
      </c>
      <c r="I496" s="3" t="s">
        <v>31</v>
      </c>
      <c r="J496" s="3" t="s">
        <v>32</v>
      </c>
      <c r="K496" s="3" t="s">
        <v>33</v>
      </c>
      <c r="L496" s="3" t="s">
        <v>40</v>
      </c>
      <c r="M496" s="3" t="s">
        <v>38</v>
      </c>
      <c r="N496" s="4" t="n">
        <v>24</v>
      </c>
      <c r="O496" s="5" t="n">
        <v>26.27</v>
      </c>
      <c r="P496" s="6" t="n">
        <v>0</v>
      </c>
      <c r="Q496" s="5" t="n">
        <f aca="false">N496*O496*(1-P496)</f>
        <v>630.48</v>
      </c>
      <c r="R496" s="5" t="n">
        <v>365.02</v>
      </c>
      <c r="S496" s="6" t="n">
        <f aca="false">IFERROR((Q496-R496)/Q496,0)</f>
        <v>0.42104428372034</v>
      </c>
    </row>
    <row r="497" customFormat="false" ht="15" hidden="false" customHeight="false" outlineLevel="0" collapsed="false">
      <c r="A497" s="2" t="n">
        <v>45737</v>
      </c>
      <c r="B497" s="3" t="s">
        <v>402</v>
      </c>
      <c r="C497" s="3" t="s">
        <v>155</v>
      </c>
      <c r="D497" s="3" t="s">
        <v>156</v>
      </c>
      <c r="E497" s="3" t="s">
        <v>157</v>
      </c>
      <c r="F497" s="3" t="s">
        <v>38</v>
      </c>
      <c r="G497" s="3" t="s">
        <v>39</v>
      </c>
      <c r="H497" s="3" t="s">
        <v>65</v>
      </c>
      <c r="I497" s="3" t="s">
        <v>66</v>
      </c>
      <c r="J497" s="3" t="s">
        <v>67</v>
      </c>
      <c r="K497" s="3" t="s">
        <v>68</v>
      </c>
      <c r="L497" s="3" t="s">
        <v>40</v>
      </c>
      <c r="M497" s="3" t="s">
        <v>38</v>
      </c>
      <c r="N497" s="4" t="n">
        <v>120</v>
      </c>
      <c r="O497" s="5" t="n">
        <v>26.38</v>
      </c>
      <c r="P497" s="6" t="n">
        <v>0</v>
      </c>
      <c r="Q497" s="5" t="n">
        <f aca="false">N497*O497*(1-P497)</f>
        <v>3165.6</v>
      </c>
      <c r="R497" s="5" t="n">
        <v>2042.2</v>
      </c>
      <c r="S497" s="6" t="n">
        <f aca="false">IFERROR((Q497-R497)/Q497,0)</f>
        <v>0.354877432398282</v>
      </c>
    </row>
    <row r="498" customFormat="false" ht="15" hidden="false" customHeight="false" outlineLevel="0" collapsed="false">
      <c r="A498" s="2" t="n">
        <v>45740</v>
      </c>
      <c r="B498" s="3" t="s">
        <v>403</v>
      </c>
      <c r="C498" s="3" t="s">
        <v>116</v>
      </c>
      <c r="D498" s="3" t="s">
        <v>117</v>
      </c>
      <c r="E498" s="3" t="s">
        <v>118</v>
      </c>
      <c r="F498" s="3" t="s">
        <v>45</v>
      </c>
      <c r="G498" s="3" t="s">
        <v>39</v>
      </c>
      <c r="H498" s="3" t="s">
        <v>132</v>
      </c>
      <c r="I498" s="3" t="s">
        <v>133</v>
      </c>
      <c r="J498" s="3" t="s">
        <v>27</v>
      </c>
      <c r="K498" s="3" t="s">
        <v>28</v>
      </c>
      <c r="L498" s="3" t="s">
        <v>50</v>
      </c>
      <c r="M498" s="3" t="s">
        <v>45</v>
      </c>
      <c r="N498" s="4" t="n">
        <v>48</v>
      </c>
      <c r="O498" s="5" t="n">
        <v>13.31</v>
      </c>
      <c r="P498" s="6" t="n">
        <v>0</v>
      </c>
      <c r="Q498" s="5" t="n">
        <f aca="false">N498*O498*(1-P498)</f>
        <v>638.88</v>
      </c>
      <c r="R498" s="5" t="n">
        <v>386.69</v>
      </c>
      <c r="S498" s="6" t="n">
        <f aca="false">IFERROR((Q498-R498)/Q498,0)</f>
        <v>0.394737665915352</v>
      </c>
    </row>
    <row r="499" customFormat="false" ht="15" hidden="false" customHeight="false" outlineLevel="0" collapsed="false">
      <c r="A499" s="2" t="n">
        <v>45740</v>
      </c>
      <c r="B499" s="3" t="s">
        <v>403</v>
      </c>
      <c r="C499" s="3" t="s">
        <v>116</v>
      </c>
      <c r="D499" s="3" t="s">
        <v>117</v>
      </c>
      <c r="E499" s="3" t="s">
        <v>118</v>
      </c>
      <c r="F499" s="3" t="s">
        <v>45</v>
      </c>
      <c r="G499" s="3" t="s">
        <v>39</v>
      </c>
      <c r="H499" s="3" t="s">
        <v>141</v>
      </c>
      <c r="I499" s="3" t="s">
        <v>142</v>
      </c>
      <c r="J499" s="3" t="s">
        <v>89</v>
      </c>
      <c r="K499" s="3" t="s">
        <v>100</v>
      </c>
      <c r="L499" s="3" t="s">
        <v>50</v>
      </c>
      <c r="M499" s="3" t="s">
        <v>45</v>
      </c>
      <c r="N499" s="4" t="n">
        <v>24</v>
      </c>
      <c r="O499" s="5" t="n">
        <v>20.2</v>
      </c>
      <c r="P499" s="6" t="n">
        <v>0.05</v>
      </c>
      <c r="Q499" s="5" t="n">
        <f aca="false">N499*O499*(1-P499)</f>
        <v>460.56</v>
      </c>
      <c r="R499" s="5" t="n">
        <v>293.45</v>
      </c>
      <c r="S499" s="6" t="n">
        <f aca="false">IFERROR((Q499-R499)/Q499,0)</f>
        <v>0.362840889352093</v>
      </c>
    </row>
    <row r="500" customFormat="false" ht="15" hidden="false" customHeight="false" outlineLevel="0" collapsed="false">
      <c r="A500" s="2" t="n">
        <v>45742</v>
      </c>
      <c r="B500" s="3" t="s">
        <v>404</v>
      </c>
      <c r="C500" s="3" t="s">
        <v>135</v>
      </c>
      <c r="D500" s="3" t="s">
        <v>136</v>
      </c>
      <c r="E500" s="3" t="s">
        <v>137</v>
      </c>
      <c r="F500" s="3" t="s">
        <v>45</v>
      </c>
      <c r="G500" s="3" t="s">
        <v>39</v>
      </c>
      <c r="H500" s="3" t="s">
        <v>173</v>
      </c>
      <c r="I500" s="3" t="s">
        <v>174</v>
      </c>
      <c r="J500" s="3" t="s">
        <v>27</v>
      </c>
      <c r="K500" s="3" t="s">
        <v>175</v>
      </c>
      <c r="L500" s="3" t="s">
        <v>50</v>
      </c>
      <c r="M500" s="3" t="s">
        <v>45</v>
      </c>
      <c r="N500" s="4" t="n">
        <v>60</v>
      </c>
      <c r="O500" s="5" t="n">
        <v>18.58</v>
      </c>
      <c r="P500" s="6" t="n">
        <v>0.05</v>
      </c>
      <c r="Q500" s="5" t="n">
        <f aca="false">N500*O500*(1-P500)</f>
        <v>1059.06</v>
      </c>
      <c r="R500" s="5" t="n">
        <v>655.77</v>
      </c>
      <c r="S500" s="6" t="n">
        <f aca="false">IFERROR((Q500-R500)/Q500,0)</f>
        <v>0.380799954676789</v>
      </c>
    </row>
    <row r="501" customFormat="false" ht="15" hidden="false" customHeight="false" outlineLevel="0" collapsed="false">
      <c r="A501" s="2" t="n">
        <v>45742</v>
      </c>
      <c r="B501" s="3" t="s">
        <v>404</v>
      </c>
      <c r="C501" s="3" t="s">
        <v>135</v>
      </c>
      <c r="D501" s="3" t="s">
        <v>136</v>
      </c>
      <c r="E501" s="3" t="s">
        <v>137</v>
      </c>
      <c r="F501" s="3" t="s">
        <v>45</v>
      </c>
      <c r="G501" s="3" t="s">
        <v>39</v>
      </c>
      <c r="H501" s="3" t="s">
        <v>138</v>
      </c>
      <c r="I501" s="3" t="s">
        <v>139</v>
      </c>
      <c r="J501" s="3" t="s">
        <v>27</v>
      </c>
      <c r="K501" s="3" t="s">
        <v>140</v>
      </c>
      <c r="L501" s="3" t="s">
        <v>50</v>
      </c>
      <c r="M501" s="3" t="s">
        <v>45</v>
      </c>
      <c r="N501" s="4" t="n">
        <v>60</v>
      </c>
      <c r="O501" s="5" t="n">
        <v>3.99</v>
      </c>
      <c r="P501" s="6" t="n">
        <v>0</v>
      </c>
      <c r="Q501" s="5" t="n">
        <f aca="false">N501*O501*(1-P501)</f>
        <v>239.4</v>
      </c>
      <c r="R501" s="5" t="n">
        <v>139.25</v>
      </c>
      <c r="S501" s="6" t="n">
        <f aca="false">IFERROR((Q501-R501)/Q501,0)</f>
        <v>0.418337510442774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B7DC6-6FA1-4E65-9696-D3D351CB7B9F}"/>
</file>

<file path=customXml/itemProps2.xml><?xml version="1.0" encoding="utf-8"?>
<ds:datastoreItem xmlns:ds="http://schemas.openxmlformats.org/officeDocument/2006/customXml" ds:itemID="{30D3F7F9-9AB3-487F-BC5E-B17676E89A93}"/>
</file>

<file path=customXml/itemProps3.xml><?xml version="1.0" encoding="utf-8"?>
<ds:datastoreItem xmlns:ds="http://schemas.openxmlformats.org/officeDocument/2006/customXml" ds:itemID="{3FE4D003-22E3-464D-A6C2-D1B43005AEA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2026-05-13T06:26:11Z</dcterms:created>
  <dcterms:modified xsi:type="dcterms:W3CDTF">2026-05-13T06:26:11Z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